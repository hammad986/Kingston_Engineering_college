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D:\NAAC\NAAC_CR2_14.04.2024\Criteria 2_Website Updated\2.1.1\2.1.1_Website\"/>
    </mc:Choice>
  </mc:AlternateContent>
  <xr:revisionPtr revIDLastSave="0" documentId="13_ncr:1_{37C9307F-6C0D-4793-B1F9-B19E7B5753A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2.1.1" sheetId="3" r:id="rId1"/>
  </sheets>
  <definedNames>
    <definedName name="_xlnm.Print_Area" localSheetId="0">'2.1.1'!$A$1:$N$79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3" l="1"/>
  <c r="D17" i="3"/>
  <c r="E17" i="3"/>
  <c r="F17" i="3"/>
  <c r="G17" i="3"/>
  <c r="H17" i="3"/>
  <c r="J17" i="3"/>
  <c r="K17" i="3"/>
  <c r="L17" i="3"/>
  <c r="M17" i="3"/>
  <c r="C34" i="3"/>
  <c r="D34" i="3"/>
  <c r="E34" i="3"/>
  <c r="F34" i="3"/>
  <c r="G34" i="3"/>
  <c r="H34" i="3"/>
  <c r="J34" i="3"/>
  <c r="K34" i="3"/>
  <c r="L34" i="3"/>
  <c r="M34" i="3"/>
  <c r="C49" i="3"/>
  <c r="D49" i="3"/>
  <c r="E49" i="3"/>
  <c r="F49" i="3"/>
  <c r="G49" i="3"/>
  <c r="H49" i="3"/>
  <c r="J49" i="3"/>
  <c r="K49" i="3"/>
  <c r="L49" i="3"/>
  <c r="M49" i="3"/>
  <c r="C64" i="3"/>
  <c r="D64" i="3"/>
  <c r="E64" i="3"/>
  <c r="F64" i="3"/>
  <c r="G64" i="3"/>
  <c r="H64" i="3"/>
  <c r="J64" i="3"/>
  <c r="K64" i="3"/>
  <c r="L64" i="3"/>
  <c r="M64" i="3"/>
  <c r="C79" i="3"/>
  <c r="D79" i="3"/>
  <c r="E79" i="3"/>
  <c r="F79" i="3"/>
  <c r="G79" i="3"/>
  <c r="H79" i="3"/>
  <c r="J79" i="3"/>
  <c r="K79" i="3"/>
  <c r="L79" i="3"/>
  <c r="M79" i="3"/>
</calcChain>
</file>

<file path=xl/sharedStrings.xml><?xml version="1.0" encoding="utf-8"?>
<sst xmlns="http://schemas.openxmlformats.org/spreadsheetml/2006/main" count="162" uniqueCount="35">
  <si>
    <t>Total</t>
  </si>
  <si>
    <t xml:space="preserve">M.E(Engineering Design) </t>
  </si>
  <si>
    <t xml:space="preserve">M.E(Computer Science Engineering) </t>
  </si>
  <si>
    <t>M.E (Power system Engineering)</t>
  </si>
  <si>
    <t xml:space="preserve">M.E (Applied Electronics) </t>
  </si>
  <si>
    <t xml:space="preserve">Master of Business Administration </t>
  </si>
  <si>
    <t> B.Tech (Information Technology) </t>
  </si>
  <si>
    <t xml:space="preserve">  B.E (Mechanical Engineering) </t>
  </si>
  <si>
    <t xml:space="preserve">B.E (Electronics &amp; Communication Engineering) </t>
  </si>
  <si>
    <t> 105</t>
  </si>
  <si>
    <t> B.E (Electrical &amp; Electronics Engineering) </t>
  </si>
  <si>
    <t> 104</t>
  </si>
  <si>
    <t>  B.E (Computer Science Engineering)</t>
  </si>
  <si>
    <t> 103</t>
  </si>
  <si>
    <t xml:space="preserve"> B.E (Civil Engineering) </t>
  </si>
  <si>
    <t>Others</t>
  </si>
  <si>
    <t>Gen</t>
  </si>
  <si>
    <t>OBC</t>
  </si>
  <si>
    <t>ST</t>
  </si>
  <si>
    <t>SC</t>
  </si>
  <si>
    <t>Number of students admitted from the reserved category</t>
  </si>
  <si>
    <t>Number of  seats earmarked for reserved category as per GOI or State Government rule</t>
  </si>
  <si>
    <t>Number of Students admitted</t>
  </si>
  <si>
    <t>Number of seats sanctioned</t>
  </si>
  <si>
    <t>Programme Code</t>
  </si>
  <si>
    <t>Programme name</t>
  </si>
  <si>
    <t>2018 - 2019</t>
  </si>
  <si>
    <t>2019 - 2020</t>
  </si>
  <si>
    <t>2020 - 2021</t>
  </si>
  <si>
    <t> B.Tech (Computer Science and Business systems) </t>
  </si>
  <si>
    <t> B.Tech (Artificial Intelligence and Data Science) </t>
  </si>
  <si>
    <t>2021 - 2022</t>
  </si>
  <si>
    <t>2022 - 2023</t>
  </si>
  <si>
    <t xml:space="preserve">2.1.2  Percentage of seats filled against seats reserved for various categories (SC, ST, OBC etc. as per applicable reservation policy) during the last five years ( exclusive of supernumerary seats) </t>
  </si>
  <si>
    <t>2.1.1 Enrolment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</si>
</sst>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3"/>
      <color theme="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sz val="13"/>
      <color theme="1"/>
      <name val="Calibri Light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vertical="top"/>
    </xf>
    <xf numFmtId="0" fontId="5" fillId="4" borderId="2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6486B366-DE4E-408A-825B-5D40EE8174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2D699-973B-4259-B777-DAF9F2AAA7AD}">
  <sheetPr>
    <tabColor rgb="FF92D050"/>
  </sheetPr>
  <dimension ref="A1:N79"/>
  <sheetViews>
    <sheetView tabSelected="1" zoomScale="85" zoomScaleNormal="85" workbookViewId="0">
      <selection activeCell="O11" sqref="O11"/>
    </sheetView>
  </sheetViews>
  <sheetFormatPr defaultColWidth="30.21875" defaultRowHeight="14.4" x14ac:dyDescent="0.3"/>
  <cols>
    <col min="1" max="1" width="47.6640625" style="1" bestFit="1" customWidth="1"/>
    <col min="2" max="2" width="18.77734375" style="1" customWidth="1"/>
    <col min="3" max="3" width="14.5546875" style="1" customWidth="1"/>
    <col min="4" max="4" width="12.5546875" style="1" customWidth="1"/>
    <col min="5" max="5" width="6.5546875" style="1" customWidth="1"/>
    <col min="6" max="6" width="5" style="1" customWidth="1"/>
    <col min="7" max="7" width="6" style="1" customWidth="1"/>
    <col min="8" max="8" width="5.77734375" style="1" customWidth="1"/>
    <col min="9" max="9" width="7.77734375" style="1" customWidth="1"/>
    <col min="10" max="10" width="4.21875" style="1" customWidth="1"/>
    <col min="11" max="11" width="3.77734375" style="1" customWidth="1"/>
    <col min="12" max="12" width="5.44140625" style="1" customWidth="1"/>
    <col min="13" max="13" width="11.109375" style="1" customWidth="1"/>
    <col min="14" max="14" width="8.77734375" style="1" customWidth="1"/>
    <col min="15" max="16384" width="30.21875" style="1"/>
  </cols>
  <sheetData>
    <row r="1" spans="1:14" x14ac:dyDescent="0.3">
      <c r="A1" s="16" t="s">
        <v>34</v>
      </c>
    </row>
    <row r="2" spans="1:14" ht="37.799999999999997" customHeight="1" x14ac:dyDescent="0.3">
      <c r="A2" s="26" t="s">
        <v>33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x14ac:dyDescent="0.3">
      <c r="A3" s="17" t="s">
        <v>32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ht="45" customHeight="1" x14ac:dyDescent="0.3">
      <c r="A4" s="19" t="s">
        <v>25</v>
      </c>
      <c r="B4" s="19" t="s">
        <v>24</v>
      </c>
      <c r="C4" s="21" t="s">
        <v>23</v>
      </c>
      <c r="D4" s="21" t="s">
        <v>22</v>
      </c>
      <c r="E4" s="23" t="s">
        <v>21</v>
      </c>
      <c r="F4" s="24"/>
      <c r="G4" s="24"/>
      <c r="H4" s="24"/>
      <c r="I4" s="25"/>
      <c r="J4" s="23" t="s">
        <v>20</v>
      </c>
      <c r="K4" s="24"/>
      <c r="L4" s="24"/>
      <c r="M4" s="24"/>
      <c r="N4" s="25"/>
    </row>
    <row r="5" spans="1:14" x14ac:dyDescent="0.3">
      <c r="A5" s="20"/>
      <c r="B5" s="20"/>
      <c r="C5" s="22"/>
      <c r="D5" s="22"/>
      <c r="E5" s="10" t="s">
        <v>19</v>
      </c>
      <c r="F5" s="10" t="s">
        <v>18</v>
      </c>
      <c r="G5" s="10" t="s">
        <v>17</v>
      </c>
      <c r="H5" s="10" t="s">
        <v>16</v>
      </c>
      <c r="I5" s="10" t="s">
        <v>15</v>
      </c>
      <c r="J5" s="10" t="s">
        <v>19</v>
      </c>
      <c r="K5" s="10" t="s">
        <v>18</v>
      </c>
      <c r="L5" s="10" t="s">
        <v>17</v>
      </c>
      <c r="M5" s="10" t="s">
        <v>16</v>
      </c>
      <c r="N5" s="10" t="s">
        <v>15</v>
      </c>
    </row>
    <row r="6" spans="1:14" ht="17.399999999999999" x14ac:dyDescent="0.3">
      <c r="A6" s="9" t="s">
        <v>12</v>
      </c>
      <c r="B6" s="8" t="s">
        <v>11</v>
      </c>
      <c r="C6" s="13">
        <v>120</v>
      </c>
      <c r="D6" s="13">
        <v>116</v>
      </c>
      <c r="E6" s="6">
        <v>22</v>
      </c>
      <c r="F6" s="6">
        <v>1</v>
      </c>
      <c r="G6" s="6">
        <v>60</v>
      </c>
      <c r="H6" s="6">
        <v>37</v>
      </c>
      <c r="I6" s="15"/>
      <c r="J6" s="6">
        <v>9</v>
      </c>
      <c r="K6" s="6">
        <v>0</v>
      </c>
      <c r="L6" s="6">
        <v>89</v>
      </c>
      <c r="M6" s="6">
        <v>18</v>
      </c>
      <c r="N6" s="6"/>
    </row>
    <row r="7" spans="1:14" ht="17.399999999999999" x14ac:dyDescent="0.3">
      <c r="A7" s="9" t="s">
        <v>8</v>
      </c>
      <c r="B7" s="8">
        <v>106</v>
      </c>
      <c r="C7" s="13">
        <v>60</v>
      </c>
      <c r="D7" s="13">
        <v>56</v>
      </c>
      <c r="E7" s="6">
        <v>11</v>
      </c>
      <c r="F7" s="6">
        <v>1</v>
      </c>
      <c r="G7" s="6">
        <v>30</v>
      </c>
      <c r="H7" s="6">
        <v>18</v>
      </c>
      <c r="I7" s="7"/>
      <c r="J7" s="6">
        <v>4</v>
      </c>
      <c r="K7" s="6">
        <v>0</v>
      </c>
      <c r="L7" s="6">
        <v>39</v>
      </c>
      <c r="M7" s="6">
        <v>13</v>
      </c>
      <c r="N7" s="6"/>
    </row>
    <row r="8" spans="1:14" ht="17.399999999999999" x14ac:dyDescent="0.3">
      <c r="A8" s="9" t="s">
        <v>7</v>
      </c>
      <c r="B8" s="8">
        <v>114</v>
      </c>
      <c r="C8" s="13">
        <v>30</v>
      </c>
      <c r="D8" s="13">
        <v>10</v>
      </c>
      <c r="E8" s="6">
        <v>6</v>
      </c>
      <c r="F8" s="6">
        <v>0</v>
      </c>
      <c r="G8" s="6">
        <v>15</v>
      </c>
      <c r="H8" s="6">
        <v>9</v>
      </c>
      <c r="I8" s="7"/>
      <c r="J8" s="6">
        <v>0</v>
      </c>
      <c r="K8" s="6">
        <v>0</v>
      </c>
      <c r="L8" s="6">
        <v>9</v>
      </c>
      <c r="M8" s="6">
        <v>1</v>
      </c>
      <c r="N8" s="6"/>
    </row>
    <row r="9" spans="1:14" ht="17.399999999999999" x14ac:dyDescent="0.3">
      <c r="A9" s="9" t="s">
        <v>6</v>
      </c>
      <c r="B9" s="8">
        <v>205</v>
      </c>
      <c r="C9" s="13">
        <v>60</v>
      </c>
      <c r="D9" s="13">
        <v>58</v>
      </c>
      <c r="E9" s="6">
        <v>11</v>
      </c>
      <c r="F9" s="6">
        <v>1</v>
      </c>
      <c r="G9" s="6">
        <v>30</v>
      </c>
      <c r="H9" s="6">
        <v>18</v>
      </c>
      <c r="I9" s="7"/>
      <c r="J9" s="6">
        <v>6</v>
      </c>
      <c r="K9" s="6">
        <v>0</v>
      </c>
      <c r="L9" s="6">
        <v>46</v>
      </c>
      <c r="M9" s="6">
        <v>6</v>
      </c>
      <c r="N9" s="6"/>
    </row>
    <row r="10" spans="1:14" ht="17.399999999999999" x14ac:dyDescent="0.3">
      <c r="A10" s="9" t="s">
        <v>30</v>
      </c>
      <c r="B10" s="8">
        <v>243</v>
      </c>
      <c r="C10" s="13">
        <v>60</v>
      </c>
      <c r="D10" s="13">
        <v>59</v>
      </c>
      <c r="E10" s="6">
        <v>11</v>
      </c>
      <c r="F10" s="6">
        <v>1</v>
      </c>
      <c r="G10" s="6">
        <v>30</v>
      </c>
      <c r="H10" s="6">
        <v>18</v>
      </c>
      <c r="I10" s="7"/>
      <c r="J10" s="6">
        <v>7</v>
      </c>
      <c r="K10" s="6">
        <v>0</v>
      </c>
      <c r="L10" s="6">
        <v>45</v>
      </c>
      <c r="M10" s="6">
        <v>7</v>
      </c>
      <c r="N10" s="6"/>
    </row>
    <row r="11" spans="1:14" ht="17.399999999999999" x14ac:dyDescent="0.3">
      <c r="A11" s="9" t="s">
        <v>29</v>
      </c>
      <c r="B11" s="8">
        <v>244</v>
      </c>
      <c r="C11" s="13">
        <v>30</v>
      </c>
      <c r="D11" s="13">
        <v>28</v>
      </c>
      <c r="E11" s="6">
        <v>6</v>
      </c>
      <c r="F11" s="6">
        <v>0</v>
      </c>
      <c r="G11" s="6">
        <v>15</v>
      </c>
      <c r="H11" s="6">
        <v>9</v>
      </c>
      <c r="I11" s="7"/>
      <c r="J11" s="6">
        <v>2</v>
      </c>
      <c r="K11" s="6">
        <v>0</v>
      </c>
      <c r="L11" s="6">
        <v>23</v>
      </c>
      <c r="M11" s="6">
        <v>3</v>
      </c>
      <c r="N11" s="6"/>
    </row>
    <row r="12" spans="1:14" ht="17.399999999999999" x14ac:dyDescent="0.3">
      <c r="A12" s="9" t="s">
        <v>5</v>
      </c>
      <c r="B12" s="8">
        <v>631</v>
      </c>
      <c r="C12" s="13">
        <v>120</v>
      </c>
      <c r="D12" s="13">
        <v>119</v>
      </c>
      <c r="E12" s="6">
        <v>22</v>
      </c>
      <c r="F12" s="6">
        <v>1</v>
      </c>
      <c r="G12" s="6">
        <v>60</v>
      </c>
      <c r="H12" s="6">
        <v>37</v>
      </c>
      <c r="I12" s="7"/>
      <c r="J12" s="6">
        <v>7</v>
      </c>
      <c r="K12" s="6">
        <v>0</v>
      </c>
      <c r="L12" s="6">
        <v>98</v>
      </c>
      <c r="M12" s="6">
        <v>14</v>
      </c>
      <c r="N12" s="6"/>
    </row>
    <row r="13" spans="1:14" ht="17.399999999999999" x14ac:dyDescent="0.3">
      <c r="A13" s="9" t="s">
        <v>4</v>
      </c>
      <c r="B13" s="8">
        <v>401</v>
      </c>
      <c r="C13" s="13">
        <v>18</v>
      </c>
      <c r="D13" s="13">
        <v>0</v>
      </c>
      <c r="E13" s="7">
        <v>3</v>
      </c>
      <c r="F13" s="7">
        <v>0</v>
      </c>
      <c r="G13" s="7">
        <v>9</v>
      </c>
      <c r="H13" s="7">
        <v>6</v>
      </c>
      <c r="I13" s="7"/>
      <c r="J13" s="6">
        <v>0</v>
      </c>
      <c r="K13" s="6">
        <v>0</v>
      </c>
      <c r="L13" s="6">
        <v>0</v>
      </c>
      <c r="M13" s="6">
        <v>0</v>
      </c>
      <c r="N13" s="6"/>
    </row>
    <row r="14" spans="1:14" ht="17.399999999999999" x14ac:dyDescent="0.3">
      <c r="A14" s="9" t="s">
        <v>3</v>
      </c>
      <c r="B14" s="8">
        <v>411</v>
      </c>
      <c r="C14" s="13">
        <v>9</v>
      </c>
      <c r="D14" s="13">
        <v>0</v>
      </c>
      <c r="E14" s="7">
        <v>2</v>
      </c>
      <c r="F14" s="7">
        <v>0</v>
      </c>
      <c r="G14" s="7">
        <v>4</v>
      </c>
      <c r="H14" s="11">
        <v>3</v>
      </c>
      <c r="I14" s="7"/>
      <c r="J14" s="6">
        <v>0</v>
      </c>
      <c r="K14" s="6">
        <v>0</v>
      </c>
      <c r="L14" s="6">
        <v>0</v>
      </c>
      <c r="M14" s="6">
        <v>0</v>
      </c>
      <c r="N14" s="6"/>
    </row>
    <row r="15" spans="1:14" ht="17.399999999999999" x14ac:dyDescent="0.3">
      <c r="A15" s="9" t="s">
        <v>2</v>
      </c>
      <c r="B15" s="8">
        <v>405</v>
      </c>
      <c r="C15" s="13">
        <v>9</v>
      </c>
      <c r="D15" s="13">
        <v>3</v>
      </c>
      <c r="E15" s="7">
        <v>2</v>
      </c>
      <c r="F15" s="7">
        <v>0</v>
      </c>
      <c r="G15" s="7">
        <v>4</v>
      </c>
      <c r="H15" s="11">
        <v>3</v>
      </c>
      <c r="I15" s="7"/>
      <c r="J15" s="6">
        <v>1</v>
      </c>
      <c r="K15" s="6">
        <v>0</v>
      </c>
      <c r="L15" s="6">
        <v>2</v>
      </c>
      <c r="M15" s="6">
        <v>0</v>
      </c>
      <c r="N15" s="6"/>
    </row>
    <row r="16" spans="1:14" ht="17.399999999999999" x14ac:dyDescent="0.3">
      <c r="A16" s="9" t="s">
        <v>1</v>
      </c>
      <c r="B16" s="8">
        <v>408</v>
      </c>
      <c r="C16" s="13">
        <v>9</v>
      </c>
      <c r="D16" s="13">
        <v>0</v>
      </c>
      <c r="E16" s="7">
        <v>2</v>
      </c>
      <c r="F16" s="7">
        <v>0</v>
      </c>
      <c r="G16" s="7">
        <v>4</v>
      </c>
      <c r="H16" s="11">
        <v>3</v>
      </c>
      <c r="I16" s="7"/>
      <c r="J16" s="6">
        <v>0</v>
      </c>
      <c r="K16" s="6">
        <v>0</v>
      </c>
      <c r="L16" s="6">
        <v>0</v>
      </c>
      <c r="M16" s="6">
        <v>0</v>
      </c>
      <c r="N16" s="6"/>
    </row>
    <row r="17" spans="1:14" ht="17.399999999999999" x14ac:dyDescent="0.3">
      <c r="A17" s="14" t="s">
        <v>0</v>
      </c>
      <c r="B17" s="4"/>
      <c r="C17" s="3">
        <f t="shared" ref="C17:H17" si="0">SUM(C6:C16)</f>
        <v>525</v>
      </c>
      <c r="D17" s="3">
        <f t="shared" si="0"/>
        <v>449</v>
      </c>
      <c r="E17" s="3">
        <f t="shared" si="0"/>
        <v>98</v>
      </c>
      <c r="F17" s="3">
        <f t="shared" si="0"/>
        <v>5</v>
      </c>
      <c r="G17" s="3">
        <f t="shared" si="0"/>
        <v>261</v>
      </c>
      <c r="H17" s="3">
        <f t="shared" si="0"/>
        <v>161</v>
      </c>
      <c r="I17" s="3"/>
      <c r="J17" s="3">
        <f>SUM(J6:J16)</f>
        <v>36</v>
      </c>
      <c r="K17" s="3">
        <f>SUM(K6:K16)</f>
        <v>0</v>
      </c>
      <c r="L17" s="3">
        <f>SUM(L6:L16)</f>
        <v>351</v>
      </c>
      <c r="M17" s="3">
        <f>SUM(M6:M16)</f>
        <v>62</v>
      </c>
      <c r="N17" s="2"/>
    </row>
    <row r="18" spans="1:14" x14ac:dyDescent="0.3">
      <c r="A18" s="17" t="s">
        <v>31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1:14" ht="42.45" customHeight="1" x14ac:dyDescent="0.3">
      <c r="A19" s="19" t="s">
        <v>25</v>
      </c>
      <c r="B19" s="19" t="s">
        <v>24</v>
      </c>
      <c r="C19" s="21" t="s">
        <v>23</v>
      </c>
      <c r="D19" s="21" t="s">
        <v>22</v>
      </c>
      <c r="E19" s="23" t="s">
        <v>21</v>
      </c>
      <c r="F19" s="24"/>
      <c r="G19" s="24"/>
      <c r="H19" s="24"/>
      <c r="I19" s="25"/>
      <c r="J19" s="23" t="s">
        <v>20</v>
      </c>
      <c r="K19" s="24"/>
      <c r="L19" s="24"/>
      <c r="M19" s="24"/>
      <c r="N19" s="25"/>
    </row>
    <row r="20" spans="1:14" ht="22.95" customHeight="1" x14ac:dyDescent="0.3">
      <c r="A20" s="20"/>
      <c r="B20" s="20"/>
      <c r="C20" s="22"/>
      <c r="D20" s="22"/>
      <c r="E20" s="10" t="s">
        <v>19</v>
      </c>
      <c r="F20" s="10" t="s">
        <v>18</v>
      </c>
      <c r="G20" s="10" t="s">
        <v>17</v>
      </c>
      <c r="H20" s="10" t="s">
        <v>16</v>
      </c>
      <c r="I20" s="10" t="s">
        <v>15</v>
      </c>
      <c r="J20" s="10" t="s">
        <v>19</v>
      </c>
      <c r="K20" s="10" t="s">
        <v>18</v>
      </c>
      <c r="L20" s="10" t="s">
        <v>17</v>
      </c>
      <c r="M20" s="10" t="s">
        <v>16</v>
      </c>
      <c r="N20" s="10" t="s">
        <v>15</v>
      </c>
    </row>
    <row r="21" spans="1:14" ht="15.6" x14ac:dyDescent="0.3">
      <c r="A21" s="9" t="s">
        <v>14</v>
      </c>
      <c r="B21" s="8" t="s">
        <v>13</v>
      </c>
      <c r="C21" s="8">
        <v>30</v>
      </c>
      <c r="D21" s="8">
        <v>4</v>
      </c>
      <c r="E21" s="6">
        <v>6</v>
      </c>
      <c r="F21" s="6">
        <v>0</v>
      </c>
      <c r="G21" s="6">
        <v>15</v>
      </c>
      <c r="H21" s="6">
        <v>9</v>
      </c>
      <c r="I21" s="8"/>
      <c r="J21" s="7">
        <v>0</v>
      </c>
      <c r="K21" s="7">
        <v>1</v>
      </c>
      <c r="L21" s="7">
        <v>3</v>
      </c>
      <c r="M21" s="7">
        <v>0</v>
      </c>
      <c r="N21" s="6"/>
    </row>
    <row r="22" spans="1:14" ht="15.6" x14ac:dyDescent="0.3">
      <c r="A22" s="9" t="s">
        <v>12</v>
      </c>
      <c r="B22" s="8" t="s">
        <v>11</v>
      </c>
      <c r="C22" s="8">
        <v>120</v>
      </c>
      <c r="D22" s="8">
        <v>113</v>
      </c>
      <c r="E22" s="6">
        <v>22</v>
      </c>
      <c r="F22" s="6">
        <v>1</v>
      </c>
      <c r="G22" s="6">
        <v>60</v>
      </c>
      <c r="H22" s="6">
        <v>37</v>
      </c>
      <c r="I22" s="8"/>
      <c r="J22" s="7">
        <v>11</v>
      </c>
      <c r="K22" s="7">
        <v>0</v>
      </c>
      <c r="L22" s="7">
        <v>67</v>
      </c>
      <c r="M22" s="7">
        <v>35</v>
      </c>
      <c r="N22" s="6"/>
    </row>
    <row r="23" spans="1:14" ht="15.6" x14ac:dyDescent="0.3">
      <c r="A23" s="9" t="s">
        <v>10</v>
      </c>
      <c r="B23" s="8" t="s">
        <v>9</v>
      </c>
      <c r="C23" s="8">
        <v>30</v>
      </c>
      <c r="D23" s="8">
        <v>3</v>
      </c>
      <c r="E23" s="6">
        <v>6</v>
      </c>
      <c r="F23" s="6">
        <v>0</v>
      </c>
      <c r="G23" s="6">
        <v>15</v>
      </c>
      <c r="H23" s="6">
        <v>9</v>
      </c>
      <c r="I23" s="8"/>
      <c r="J23" s="12">
        <v>1</v>
      </c>
      <c r="K23" s="12">
        <v>0</v>
      </c>
      <c r="L23" s="12">
        <v>2</v>
      </c>
      <c r="M23" s="12">
        <v>0</v>
      </c>
      <c r="N23" s="6"/>
    </row>
    <row r="24" spans="1:14" ht="15.6" x14ac:dyDescent="0.3">
      <c r="A24" s="9" t="s">
        <v>8</v>
      </c>
      <c r="B24" s="8">
        <v>106</v>
      </c>
      <c r="C24" s="8">
        <v>60</v>
      </c>
      <c r="D24" s="8">
        <v>26</v>
      </c>
      <c r="E24" s="6">
        <v>11</v>
      </c>
      <c r="F24" s="6">
        <v>1</v>
      </c>
      <c r="G24" s="6">
        <v>30</v>
      </c>
      <c r="H24" s="6">
        <v>18</v>
      </c>
      <c r="I24" s="8"/>
      <c r="J24" s="12">
        <v>3</v>
      </c>
      <c r="K24" s="12">
        <v>0</v>
      </c>
      <c r="L24" s="12">
        <v>21</v>
      </c>
      <c r="M24" s="12">
        <v>2</v>
      </c>
      <c r="N24" s="6"/>
    </row>
    <row r="25" spans="1:14" ht="17.399999999999999" x14ac:dyDescent="0.3">
      <c r="A25" s="9" t="s">
        <v>7</v>
      </c>
      <c r="B25" s="8">
        <v>114</v>
      </c>
      <c r="C25" s="8">
        <v>60</v>
      </c>
      <c r="D25" s="8">
        <v>7</v>
      </c>
      <c r="E25" s="6">
        <v>11</v>
      </c>
      <c r="F25" s="6">
        <v>1</v>
      </c>
      <c r="G25" s="6">
        <v>30</v>
      </c>
      <c r="H25" s="6">
        <v>18</v>
      </c>
      <c r="I25" s="8"/>
      <c r="J25" s="13">
        <v>1</v>
      </c>
      <c r="K25" s="13">
        <v>0</v>
      </c>
      <c r="L25" s="13">
        <v>6</v>
      </c>
      <c r="M25" s="13">
        <v>0</v>
      </c>
      <c r="N25" s="6"/>
    </row>
    <row r="26" spans="1:14" ht="15.6" x14ac:dyDescent="0.3">
      <c r="A26" s="9" t="s">
        <v>6</v>
      </c>
      <c r="B26" s="8">
        <v>205</v>
      </c>
      <c r="C26" s="8">
        <v>60</v>
      </c>
      <c r="D26" s="8">
        <v>49</v>
      </c>
      <c r="E26" s="6">
        <v>11</v>
      </c>
      <c r="F26" s="6">
        <v>1</v>
      </c>
      <c r="G26" s="6">
        <v>30</v>
      </c>
      <c r="H26" s="6">
        <v>18</v>
      </c>
      <c r="I26" s="8"/>
      <c r="J26" s="12">
        <v>3</v>
      </c>
      <c r="K26" s="12">
        <v>0</v>
      </c>
      <c r="L26" s="12">
        <v>41</v>
      </c>
      <c r="M26" s="12">
        <v>5</v>
      </c>
      <c r="N26" s="6"/>
    </row>
    <row r="27" spans="1:14" ht="15.6" x14ac:dyDescent="0.3">
      <c r="A27" s="9" t="s">
        <v>30</v>
      </c>
      <c r="B27" s="8">
        <v>243</v>
      </c>
      <c r="C27" s="8">
        <v>30</v>
      </c>
      <c r="D27" s="8">
        <v>0</v>
      </c>
      <c r="E27" s="6">
        <v>6</v>
      </c>
      <c r="F27" s="6">
        <v>0</v>
      </c>
      <c r="G27" s="6">
        <v>15</v>
      </c>
      <c r="H27" s="6">
        <v>9</v>
      </c>
      <c r="I27" s="8"/>
      <c r="J27" s="12">
        <v>0</v>
      </c>
      <c r="K27" s="12">
        <v>0</v>
      </c>
      <c r="L27" s="12">
        <v>0</v>
      </c>
      <c r="M27" s="12">
        <v>0</v>
      </c>
      <c r="N27" s="6"/>
    </row>
    <row r="28" spans="1:14" ht="15.6" x14ac:dyDescent="0.3">
      <c r="A28" s="9" t="s">
        <v>29</v>
      </c>
      <c r="B28" s="8">
        <v>244</v>
      </c>
      <c r="C28" s="8">
        <v>30</v>
      </c>
      <c r="D28" s="8">
        <v>0</v>
      </c>
      <c r="E28" s="6">
        <v>6</v>
      </c>
      <c r="F28" s="6">
        <v>0</v>
      </c>
      <c r="G28" s="6">
        <v>15</v>
      </c>
      <c r="H28" s="6">
        <v>9</v>
      </c>
      <c r="I28" s="8"/>
      <c r="J28" s="12">
        <v>0</v>
      </c>
      <c r="K28" s="12">
        <v>0</v>
      </c>
      <c r="L28" s="12">
        <v>0</v>
      </c>
      <c r="M28" s="12">
        <v>0</v>
      </c>
      <c r="N28" s="6"/>
    </row>
    <row r="29" spans="1:14" ht="15.6" x14ac:dyDescent="0.3">
      <c r="A29" s="9" t="s">
        <v>5</v>
      </c>
      <c r="B29" s="8">
        <v>631</v>
      </c>
      <c r="C29" s="8">
        <v>60</v>
      </c>
      <c r="D29" s="8">
        <v>60</v>
      </c>
      <c r="E29" s="6">
        <v>11</v>
      </c>
      <c r="F29" s="6">
        <v>1</v>
      </c>
      <c r="G29" s="6">
        <v>30</v>
      </c>
      <c r="H29" s="6">
        <v>18</v>
      </c>
      <c r="I29" s="8"/>
      <c r="J29" s="12">
        <v>8</v>
      </c>
      <c r="K29" s="12">
        <v>0</v>
      </c>
      <c r="L29" s="12">
        <v>45</v>
      </c>
      <c r="M29" s="12">
        <v>7</v>
      </c>
      <c r="N29" s="6"/>
    </row>
    <row r="30" spans="1:14" ht="15.6" x14ac:dyDescent="0.3">
      <c r="A30" s="9" t="s">
        <v>4</v>
      </c>
      <c r="B30" s="8">
        <v>401</v>
      </c>
      <c r="C30" s="8">
        <v>18</v>
      </c>
      <c r="D30" s="8">
        <v>0</v>
      </c>
      <c r="E30" s="7">
        <v>3</v>
      </c>
      <c r="F30" s="7">
        <v>0</v>
      </c>
      <c r="G30" s="7">
        <v>9</v>
      </c>
      <c r="H30" s="7">
        <v>6</v>
      </c>
      <c r="I30" s="8"/>
      <c r="J30" s="12">
        <v>0</v>
      </c>
      <c r="K30" s="12">
        <v>0</v>
      </c>
      <c r="L30" s="12">
        <v>0</v>
      </c>
      <c r="M30" s="12">
        <v>0</v>
      </c>
      <c r="N30" s="6"/>
    </row>
    <row r="31" spans="1:14" ht="15.6" x14ac:dyDescent="0.3">
      <c r="A31" s="9" t="s">
        <v>3</v>
      </c>
      <c r="B31" s="8">
        <v>411</v>
      </c>
      <c r="C31" s="8">
        <v>9</v>
      </c>
      <c r="D31" s="8">
        <v>1</v>
      </c>
      <c r="E31" s="7">
        <v>2</v>
      </c>
      <c r="F31" s="7">
        <v>0</v>
      </c>
      <c r="G31" s="7">
        <v>4</v>
      </c>
      <c r="H31" s="11">
        <v>3</v>
      </c>
      <c r="I31" s="8"/>
      <c r="J31" s="12">
        <v>1</v>
      </c>
      <c r="K31" s="12">
        <v>0</v>
      </c>
      <c r="L31" s="12">
        <v>0</v>
      </c>
      <c r="M31" s="12">
        <v>0</v>
      </c>
      <c r="N31" s="6"/>
    </row>
    <row r="32" spans="1:14" ht="15.6" x14ac:dyDescent="0.3">
      <c r="A32" s="9" t="s">
        <v>2</v>
      </c>
      <c r="B32" s="8">
        <v>405</v>
      </c>
      <c r="C32" s="8">
        <v>9</v>
      </c>
      <c r="D32" s="8">
        <v>3</v>
      </c>
      <c r="E32" s="7">
        <v>2</v>
      </c>
      <c r="F32" s="7">
        <v>0</v>
      </c>
      <c r="G32" s="7">
        <v>4</v>
      </c>
      <c r="H32" s="11">
        <v>3</v>
      </c>
      <c r="I32" s="8"/>
      <c r="J32" s="12">
        <v>0</v>
      </c>
      <c r="K32" s="12">
        <v>0</v>
      </c>
      <c r="L32" s="12">
        <v>3</v>
      </c>
      <c r="M32" s="12">
        <v>0</v>
      </c>
      <c r="N32" s="6"/>
    </row>
    <row r="33" spans="1:14" ht="15.6" x14ac:dyDescent="0.3">
      <c r="A33" s="9" t="s">
        <v>1</v>
      </c>
      <c r="B33" s="8">
        <v>408</v>
      </c>
      <c r="C33" s="8">
        <v>9</v>
      </c>
      <c r="D33" s="8">
        <v>1</v>
      </c>
      <c r="E33" s="7">
        <v>2</v>
      </c>
      <c r="F33" s="7">
        <v>0</v>
      </c>
      <c r="G33" s="7">
        <v>4</v>
      </c>
      <c r="H33" s="11">
        <v>3</v>
      </c>
      <c r="I33" s="8"/>
      <c r="J33" s="12">
        <v>1</v>
      </c>
      <c r="K33" s="12">
        <v>0</v>
      </c>
      <c r="L33" s="12">
        <v>0</v>
      </c>
      <c r="M33" s="12">
        <v>0</v>
      </c>
      <c r="N33" s="6"/>
    </row>
    <row r="34" spans="1:14" ht="17.399999999999999" x14ac:dyDescent="0.3">
      <c r="A34" s="5" t="s">
        <v>0</v>
      </c>
      <c r="B34" s="4"/>
      <c r="C34" s="3">
        <f t="shared" ref="C34:H34" si="1">SUM(C21:C33)</f>
        <v>525</v>
      </c>
      <c r="D34" s="3">
        <f t="shared" si="1"/>
        <v>267</v>
      </c>
      <c r="E34" s="3">
        <f t="shared" si="1"/>
        <v>99</v>
      </c>
      <c r="F34" s="3">
        <f t="shared" si="1"/>
        <v>5</v>
      </c>
      <c r="G34" s="3">
        <f t="shared" si="1"/>
        <v>261</v>
      </c>
      <c r="H34" s="3">
        <f t="shared" si="1"/>
        <v>160</v>
      </c>
      <c r="I34" s="3"/>
      <c r="J34" s="3">
        <f>SUM(J21:J33)</f>
        <v>29</v>
      </c>
      <c r="K34" s="3">
        <f>SUM(K21:K33)</f>
        <v>1</v>
      </c>
      <c r="L34" s="3">
        <f>SUM(L21:L33)</f>
        <v>188</v>
      </c>
      <c r="M34" s="3">
        <f>SUM(M21:M33)</f>
        <v>49</v>
      </c>
      <c r="N34" s="2"/>
    </row>
    <row r="35" spans="1:14" x14ac:dyDescent="0.3">
      <c r="A35" s="17" t="s">
        <v>28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ht="42" customHeight="1" x14ac:dyDescent="0.3">
      <c r="A36" s="19" t="s">
        <v>25</v>
      </c>
      <c r="B36" s="19" t="s">
        <v>24</v>
      </c>
      <c r="C36" s="21" t="s">
        <v>23</v>
      </c>
      <c r="D36" s="21" t="s">
        <v>22</v>
      </c>
      <c r="E36" s="23" t="s">
        <v>21</v>
      </c>
      <c r="F36" s="24"/>
      <c r="G36" s="24"/>
      <c r="H36" s="24"/>
      <c r="I36" s="25"/>
      <c r="J36" s="23" t="s">
        <v>20</v>
      </c>
      <c r="K36" s="24"/>
      <c r="L36" s="24"/>
      <c r="M36" s="24"/>
      <c r="N36" s="25"/>
    </row>
    <row r="37" spans="1:14" ht="32.549999999999997" customHeight="1" x14ac:dyDescent="0.3">
      <c r="A37" s="20"/>
      <c r="B37" s="20"/>
      <c r="C37" s="22"/>
      <c r="D37" s="22"/>
      <c r="E37" s="10" t="s">
        <v>19</v>
      </c>
      <c r="F37" s="10" t="s">
        <v>18</v>
      </c>
      <c r="G37" s="10" t="s">
        <v>17</v>
      </c>
      <c r="H37" s="10" t="s">
        <v>16</v>
      </c>
      <c r="I37" s="10" t="s">
        <v>15</v>
      </c>
      <c r="J37" s="10" t="s">
        <v>19</v>
      </c>
      <c r="K37" s="10" t="s">
        <v>18</v>
      </c>
      <c r="L37" s="10" t="s">
        <v>17</v>
      </c>
      <c r="M37" s="10" t="s">
        <v>16</v>
      </c>
      <c r="N37" s="10" t="s">
        <v>15</v>
      </c>
    </row>
    <row r="38" spans="1:14" ht="15.6" x14ac:dyDescent="0.3">
      <c r="A38" s="9" t="s">
        <v>14</v>
      </c>
      <c r="B38" s="8" t="s">
        <v>13</v>
      </c>
      <c r="C38" s="8">
        <v>60</v>
      </c>
      <c r="D38" s="8">
        <v>3</v>
      </c>
      <c r="E38" s="6">
        <v>11</v>
      </c>
      <c r="F38" s="6">
        <v>1</v>
      </c>
      <c r="G38" s="6">
        <v>30</v>
      </c>
      <c r="H38" s="6">
        <v>18</v>
      </c>
      <c r="I38" s="8"/>
      <c r="J38" s="7">
        <v>0</v>
      </c>
      <c r="K38" s="7">
        <v>0</v>
      </c>
      <c r="L38" s="7">
        <v>3</v>
      </c>
      <c r="M38" s="7">
        <v>0</v>
      </c>
      <c r="N38" s="6"/>
    </row>
    <row r="39" spans="1:14" ht="15.6" x14ac:dyDescent="0.3">
      <c r="A39" s="9" t="s">
        <v>12</v>
      </c>
      <c r="B39" s="8" t="s">
        <v>11</v>
      </c>
      <c r="C39" s="8">
        <v>120</v>
      </c>
      <c r="D39" s="8">
        <v>104</v>
      </c>
      <c r="E39" s="6">
        <v>22</v>
      </c>
      <c r="F39" s="6">
        <v>1</v>
      </c>
      <c r="G39" s="6">
        <v>60</v>
      </c>
      <c r="H39" s="6">
        <v>37</v>
      </c>
      <c r="I39" s="8"/>
      <c r="J39" s="7">
        <v>3</v>
      </c>
      <c r="K39" s="7">
        <v>0</v>
      </c>
      <c r="L39" s="7">
        <v>74</v>
      </c>
      <c r="M39" s="7">
        <v>27</v>
      </c>
      <c r="N39" s="6"/>
    </row>
    <row r="40" spans="1:14" ht="15.6" x14ac:dyDescent="0.3">
      <c r="A40" s="9" t="s">
        <v>10</v>
      </c>
      <c r="B40" s="8" t="s">
        <v>9</v>
      </c>
      <c r="C40" s="8">
        <v>60</v>
      </c>
      <c r="D40" s="8">
        <v>8</v>
      </c>
      <c r="E40" s="6">
        <v>11</v>
      </c>
      <c r="F40" s="6">
        <v>1</v>
      </c>
      <c r="G40" s="6">
        <v>30</v>
      </c>
      <c r="H40" s="6">
        <v>18</v>
      </c>
      <c r="I40" s="8"/>
      <c r="J40" s="7">
        <v>0</v>
      </c>
      <c r="K40" s="7">
        <v>0</v>
      </c>
      <c r="L40" s="7">
        <v>7</v>
      </c>
      <c r="M40" s="7">
        <v>1</v>
      </c>
      <c r="N40" s="6"/>
    </row>
    <row r="41" spans="1:14" ht="15.6" x14ac:dyDescent="0.3">
      <c r="A41" s="9" t="s">
        <v>8</v>
      </c>
      <c r="B41" s="8">
        <v>106</v>
      </c>
      <c r="C41" s="8">
        <v>60</v>
      </c>
      <c r="D41" s="8">
        <v>34</v>
      </c>
      <c r="E41" s="6">
        <v>11</v>
      </c>
      <c r="F41" s="6">
        <v>1</v>
      </c>
      <c r="G41" s="6">
        <v>30</v>
      </c>
      <c r="H41" s="6">
        <v>18</v>
      </c>
      <c r="I41" s="8"/>
      <c r="J41" s="7">
        <v>2</v>
      </c>
      <c r="K41" s="7">
        <v>0</v>
      </c>
      <c r="L41" s="7">
        <v>25</v>
      </c>
      <c r="M41" s="7">
        <v>7</v>
      </c>
      <c r="N41" s="6"/>
    </row>
    <row r="42" spans="1:14" ht="15.6" x14ac:dyDescent="0.3">
      <c r="A42" s="9" t="s">
        <v>7</v>
      </c>
      <c r="B42" s="8">
        <v>114</v>
      </c>
      <c r="C42" s="8">
        <v>60</v>
      </c>
      <c r="D42" s="8">
        <v>9</v>
      </c>
      <c r="E42" s="6">
        <v>11</v>
      </c>
      <c r="F42" s="6">
        <v>1</v>
      </c>
      <c r="G42" s="6">
        <v>30</v>
      </c>
      <c r="H42" s="6">
        <v>18</v>
      </c>
      <c r="I42" s="8"/>
      <c r="J42" s="7">
        <v>0</v>
      </c>
      <c r="K42" s="7">
        <v>0</v>
      </c>
      <c r="L42" s="7">
        <v>6</v>
      </c>
      <c r="M42" s="7">
        <v>3</v>
      </c>
      <c r="N42" s="6"/>
    </row>
    <row r="43" spans="1:14" ht="15.6" x14ac:dyDescent="0.3">
      <c r="A43" s="9" t="s">
        <v>6</v>
      </c>
      <c r="B43" s="8">
        <v>205</v>
      </c>
      <c r="C43" s="8">
        <v>60</v>
      </c>
      <c r="D43" s="8">
        <v>33</v>
      </c>
      <c r="E43" s="6">
        <v>11</v>
      </c>
      <c r="F43" s="6">
        <v>1</v>
      </c>
      <c r="G43" s="6">
        <v>30</v>
      </c>
      <c r="H43" s="6">
        <v>18</v>
      </c>
      <c r="I43" s="8"/>
      <c r="J43" s="7">
        <v>3</v>
      </c>
      <c r="K43" s="7">
        <v>0</v>
      </c>
      <c r="L43" s="7">
        <v>24</v>
      </c>
      <c r="M43" s="7">
        <v>6</v>
      </c>
      <c r="N43" s="6"/>
    </row>
    <row r="44" spans="1:14" ht="15.6" x14ac:dyDescent="0.3">
      <c r="A44" s="9" t="s">
        <v>5</v>
      </c>
      <c r="B44" s="8">
        <v>631</v>
      </c>
      <c r="C44" s="8">
        <v>60</v>
      </c>
      <c r="D44" s="8">
        <v>60</v>
      </c>
      <c r="E44" s="6">
        <v>11</v>
      </c>
      <c r="F44" s="6">
        <v>1</v>
      </c>
      <c r="G44" s="6">
        <v>30</v>
      </c>
      <c r="H44" s="6">
        <v>18</v>
      </c>
      <c r="I44" s="8"/>
      <c r="J44" s="7">
        <v>9</v>
      </c>
      <c r="K44" s="7">
        <v>0</v>
      </c>
      <c r="L44" s="7">
        <v>41</v>
      </c>
      <c r="M44" s="7">
        <v>10</v>
      </c>
      <c r="N44" s="6"/>
    </row>
    <row r="45" spans="1:14" ht="15.6" x14ac:dyDescent="0.3">
      <c r="A45" s="9" t="s">
        <v>4</v>
      </c>
      <c r="B45" s="8">
        <v>401</v>
      </c>
      <c r="C45" s="8">
        <v>18</v>
      </c>
      <c r="D45" s="8">
        <v>1</v>
      </c>
      <c r="E45" s="7">
        <v>3</v>
      </c>
      <c r="F45" s="7">
        <v>0</v>
      </c>
      <c r="G45" s="7">
        <v>9</v>
      </c>
      <c r="H45" s="7">
        <v>6</v>
      </c>
      <c r="I45" s="8"/>
      <c r="J45" s="7">
        <v>0</v>
      </c>
      <c r="K45" s="7">
        <v>0</v>
      </c>
      <c r="L45" s="7">
        <v>1</v>
      </c>
      <c r="M45" s="7">
        <v>0</v>
      </c>
      <c r="N45" s="6"/>
    </row>
    <row r="46" spans="1:14" ht="15.6" x14ac:dyDescent="0.3">
      <c r="A46" s="9" t="s">
        <v>3</v>
      </c>
      <c r="B46" s="8">
        <v>411</v>
      </c>
      <c r="C46" s="8">
        <v>9</v>
      </c>
      <c r="D46" s="8">
        <v>1</v>
      </c>
      <c r="E46" s="7">
        <v>2</v>
      </c>
      <c r="F46" s="7">
        <v>0</v>
      </c>
      <c r="G46" s="7">
        <v>4</v>
      </c>
      <c r="H46" s="11">
        <v>3</v>
      </c>
      <c r="I46" s="8"/>
      <c r="J46" s="7">
        <v>0</v>
      </c>
      <c r="K46" s="7">
        <v>0</v>
      </c>
      <c r="L46" s="7">
        <v>1</v>
      </c>
      <c r="M46" s="7">
        <v>0</v>
      </c>
      <c r="N46" s="6"/>
    </row>
    <row r="47" spans="1:14" ht="15.6" x14ac:dyDescent="0.3">
      <c r="A47" s="9" t="s">
        <v>2</v>
      </c>
      <c r="B47" s="8">
        <v>405</v>
      </c>
      <c r="C47" s="8">
        <v>9</v>
      </c>
      <c r="D47" s="8">
        <v>0</v>
      </c>
      <c r="E47" s="7">
        <v>2</v>
      </c>
      <c r="F47" s="7">
        <v>0</v>
      </c>
      <c r="G47" s="7">
        <v>4</v>
      </c>
      <c r="H47" s="11">
        <v>3</v>
      </c>
      <c r="I47" s="8"/>
      <c r="J47" s="7">
        <v>0</v>
      </c>
      <c r="K47" s="7">
        <v>0</v>
      </c>
      <c r="L47" s="7">
        <v>0</v>
      </c>
      <c r="M47" s="7">
        <v>0</v>
      </c>
      <c r="N47" s="6"/>
    </row>
    <row r="48" spans="1:14" ht="15.6" x14ac:dyDescent="0.3">
      <c r="A48" s="9" t="s">
        <v>1</v>
      </c>
      <c r="B48" s="8">
        <v>408</v>
      </c>
      <c r="C48" s="8">
        <v>9</v>
      </c>
      <c r="D48" s="8">
        <v>0</v>
      </c>
      <c r="E48" s="7">
        <v>2</v>
      </c>
      <c r="F48" s="7">
        <v>0</v>
      </c>
      <c r="G48" s="7">
        <v>4</v>
      </c>
      <c r="H48" s="11">
        <v>3</v>
      </c>
      <c r="I48" s="8"/>
      <c r="J48" s="7">
        <v>0</v>
      </c>
      <c r="K48" s="7">
        <v>0</v>
      </c>
      <c r="L48" s="7">
        <v>0</v>
      </c>
      <c r="M48" s="7">
        <v>0</v>
      </c>
      <c r="N48" s="6"/>
    </row>
    <row r="49" spans="1:14" ht="17.399999999999999" x14ac:dyDescent="0.3">
      <c r="A49" s="5" t="s">
        <v>0</v>
      </c>
      <c r="B49" s="4"/>
      <c r="C49" s="3">
        <f t="shared" ref="C49:H49" si="2">SUM(C38:C48)</f>
        <v>525</v>
      </c>
      <c r="D49" s="3">
        <f t="shared" si="2"/>
        <v>253</v>
      </c>
      <c r="E49" s="3">
        <f t="shared" si="2"/>
        <v>97</v>
      </c>
      <c r="F49" s="3">
        <f t="shared" si="2"/>
        <v>7</v>
      </c>
      <c r="G49" s="3">
        <f t="shared" si="2"/>
        <v>261</v>
      </c>
      <c r="H49" s="3">
        <f t="shared" si="2"/>
        <v>160</v>
      </c>
      <c r="I49" s="3"/>
      <c r="J49" s="3">
        <f>SUM(J38:J48)</f>
        <v>17</v>
      </c>
      <c r="K49" s="3">
        <f>SUM(K38:K48)</f>
        <v>0</v>
      </c>
      <c r="L49" s="3">
        <f>SUM(L38:L48)</f>
        <v>182</v>
      </c>
      <c r="M49" s="3">
        <f>SUM(M38:M48)</f>
        <v>54</v>
      </c>
      <c r="N49" s="2"/>
    </row>
    <row r="50" spans="1:14" x14ac:dyDescent="0.3">
      <c r="A50" s="17" t="s">
        <v>27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39" customHeight="1" x14ac:dyDescent="0.3">
      <c r="A51" s="19" t="s">
        <v>25</v>
      </c>
      <c r="B51" s="19" t="s">
        <v>24</v>
      </c>
      <c r="C51" s="21" t="s">
        <v>23</v>
      </c>
      <c r="D51" s="21" t="s">
        <v>22</v>
      </c>
      <c r="E51" s="23" t="s">
        <v>21</v>
      </c>
      <c r="F51" s="24"/>
      <c r="G51" s="24"/>
      <c r="H51" s="24"/>
      <c r="I51" s="25"/>
      <c r="J51" s="23" t="s">
        <v>20</v>
      </c>
      <c r="K51" s="24"/>
      <c r="L51" s="24"/>
      <c r="M51" s="24"/>
      <c r="N51" s="25"/>
    </row>
    <row r="52" spans="1:14" x14ac:dyDescent="0.3">
      <c r="A52" s="20"/>
      <c r="B52" s="20"/>
      <c r="C52" s="22"/>
      <c r="D52" s="22"/>
      <c r="E52" s="10" t="s">
        <v>19</v>
      </c>
      <c r="F52" s="10" t="s">
        <v>18</v>
      </c>
      <c r="G52" s="10" t="s">
        <v>17</v>
      </c>
      <c r="H52" s="10" t="s">
        <v>16</v>
      </c>
      <c r="I52" s="10" t="s">
        <v>15</v>
      </c>
      <c r="J52" s="10" t="s">
        <v>19</v>
      </c>
      <c r="K52" s="10" t="s">
        <v>18</v>
      </c>
      <c r="L52" s="10" t="s">
        <v>17</v>
      </c>
      <c r="M52" s="10" t="s">
        <v>16</v>
      </c>
      <c r="N52" s="10" t="s">
        <v>15</v>
      </c>
    </row>
    <row r="53" spans="1:14" ht="15.6" x14ac:dyDescent="0.3">
      <c r="A53" s="9" t="s">
        <v>14</v>
      </c>
      <c r="B53" s="8" t="s">
        <v>13</v>
      </c>
      <c r="C53" s="8">
        <v>60</v>
      </c>
      <c r="D53" s="8">
        <v>1</v>
      </c>
      <c r="E53" s="6">
        <v>11</v>
      </c>
      <c r="F53" s="6">
        <v>1</v>
      </c>
      <c r="G53" s="6">
        <v>30</v>
      </c>
      <c r="H53" s="6">
        <v>18</v>
      </c>
      <c r="I53" s="8"/>
      <c r="J53" s="7">
        <v>0</v>
      </c>
      <c r="K53" s="7">
        <v>0</v>
      </c>
      <c r="L53" s="7">
        <v>1</v>
      </c>
      <c r="M53" s="7">
        <v>0</v>
      </c>
      <c r="N53" s="6"/>
    </row>
    <row r="54" spans="1:14" ht="15.6" x14ac:dyDescent="0.3">
      <c r="A54" s="9" t="s">
        <v>12</v>
      </c>
      <c r="B54" s="8" t="s">
        <v>11</v>
      </c>
      <c r="C54" s="8">
        <v>120</v>
      </c>
      <c r="D54" s="8">
        <v>79</v>
      </c>
      <c r="E54" s="6">
        <v>22</v>
      </c>
      <c r="F54" s="6">
        <v>1</v>
      </c>
      <c r="G54" s="6">
        <v>60</v>
      </c>
      <c r="H54" s="6">
        <v>37</v>
      </c>
      <c r="I54" s="8"/>
      <c r="J54" s="7">
        <v>4</v>
      </c>
      <c r="K54" s="7">
        <v>0</v>
      </c>
      <c r="L54" s="7">
        <v>48</v>
      </c>
      <c r="M54" s="7">
        <v>27</v>
      </c>
      <c r="N54" s="6"/>
    </row>
    <row r="55" spans="1:14" ht="15.6" x14ac:dyDescent="0.3">
      <c r="A55" s="9" t="s">
        <v>10</v>
      </c>
      <c r="B55" s="8" t="s">
        <v>9</v>
      </c>
      <c r="C55" s="8">
        <v>120</v>
      </c>
      <c r="D55" s="8">
        <v>6</v>
      </c>
      <c r="E55" s="6">
        <v>22</v>
      </c>
      <c r="F55" s="6">
        <v>1</v>
      </c>
      <c r="G55" s="6">
        <v>60</v>
      </c>
      <c r="H55" s="6">
        <v>37</v>
      </c>
      <c r="I55" s="8"/>
      <c r="J55" s="7">
        <v>2</v>
      </c>
      <c r="K55" s="7">
        <v>0</v>
      </c>
      <c r="L55" s="7">
        <v>4</v>
      </c>
      <c r="M55" s="7">
        <v>0</v>
      </c>
      <c r="N55" s="6"/>
    </row>
    <row r="56" spans="1:14" ht="15.6" x14ac:dyDescent="0.3">
      <c r="A56" s="9" t="s">
        <v>8</v>
      </c>
      <c r="B56" s="8">
        <v>106</v>
      </c>
      <c r="C56" s="8">
        <v>120</v>
      </c>
      <c r="D56" s="8">
        <v>33</v>
      </c>
      <c r="E56" s="6">
        <v>22</v>
      </c>
      <c r="F56" s="6">
        <v>1</v>
      </c>
      <c r="G56" s="6">
        <v>60</v>
      </c>
      <c r="H56" s="6">
        <v>37</v>
      </c>
      <c r="I56" s="8"/>
      <c r="J56" s="7">
        <v>1</v>
      </c>
      <c r="K56" s="7">
        <v>0</v>
      </c>
      <c r="L56" s="7">
        <v>21</v>
      </c>
      <c r="M56" s="7">
        <v>11</v>
      </c>
      <c r="N56" s="6"/>
    </row>
    <row r="57" spans="1:14" ht="15.6" x14ac:dyDescent="0.3">
      <c r="A57" s="9" t="s">
        <v>7</v>
      </c>
      <c r="B57" s="8">
        <v>114</v>
      </c>
      <c r="C57" s="8">
        <v>120</v>
      </c>
      <c r="D57" s="8">
        <v>19</v>
      </c>
      <c r="E57" s="6">
        <v>22</v>
      </c>
      <c r="F57" s="6">
        <v>1</v>
      </c>
      <c r="G57" s="6">
        <v>60</v>
      </c>
      <c r="H57" s="6">
        <v>37</v>
      </c>
      <c r="I57" s="8"/>
      <c r="J57" s="7">
        <v>2</v>
      </c>
      <c r="K57" s="7">
        <v>0</v>
      </c>
      <c r="L57" s="7">
        <v>15</v>
      </c>
      <c r="M57" s="7">
        <v>2</v>
      </c>
      <c r="N57" s="6"/>
    </row>
    <row r="58" spans="1:14" ht="15.6" x14ac:dyDescent="0.3">
      <c r="A58" s="9" t="s">
        <v>6</v>
      </c>
      <c r="B58" s="8">
        <v>205</v>
      </c>
      <c r="C58" s="8">
        <v>60</v>
      </c>
      <c r="D58" s="8">
        <v>34</v>
      </c>
      <c r="E58" s="6">
        <v>11</v>
      </c>
      <c r="F58" s="6">
        <v>1</v>
      </c>
      <c r="G58" s="6">
        <v>30</v>
      </c>
      <c r="H58" s="6">
        <v>18</v>
      </c>
      <c r="I58" s="8"/>
      <c r="J58" s="7">
        <v>1</v>
      </c>
      <c r="K58" s="7">
        <v>0</v>
      </c>
      <c r="L58" s="7">
        <v>30</v>
      </c>
      <c r="M58" s="7">
        <v>3</v>
      </c>
      <c r="N58" s="6"/>
    </row>
    <row r="59" spans="1:14" ht="15.6" x14ac:dyDescent="0.3">
      <c r="A59" s="9" t="s">
        <v>5</v>
      </c>
      <c r="B59" s="8">
        <v>631</v>
      </c>
      <c r="C59" s="8">
        <v>120</v>
      </c>
      <c r="D59" s="8">
        <v>51</v>
      </c>
      <c r="E59" s="6">
        <v>22</v>
      </c>
      <c r="F59" s="6">
        <v>1</v>
      </c>
      <c r="G59" s="6">
        <v>60</v>
      </c>
      <c r="H59" s="6">
        <v>37</v>
      </c>
      <c r="I59" s="8"/>
      <c r="J59" s="7">
        <v>5</v>
      </c>
      <c r="K59" s="7">
        <v>0</v>
      </c>
      <c r="L59" s="7">
        <v>30</v>
      </c>
      <c r="M59" s="7">
        <v>16</v>
      </c>
      <c r="N59" s="6"/>
    </row>
    <row r="60" spans="1:14" ht="15.6" x14ac:dyDescent="0.3">
      <c r="A60" s="9" t="s">
        <v>4</v>
      </c>
      <c r="B60" s="8">
        <v>401</v>
      </c>
      <c r="C60" s="8">
        <v>18</v>
      </c>
      <c r="D60" s="8">
        <v>0</v>
      </c>
      <c r="E60" s="7">
        <v>3</v>
      </c>
      <c r="F60" s="7">
        <v>0</v>
      </c>
      <c r="G60" s="7">
        <v>9</v>
      </c>
      <c r="H60" s="7">
        <v>6</v>
      </c>
      <c r="I60" s="8"/>
      <c r="J60" s="7">
        <v>0</v>
      </c>
      <c r="K60" s="7">
        <v>0</v>
      </c>
      <c r="L60" s="7">
        <v>0</v>
      </c>
      <c r="M60" s="7">
        <v>0</v>
      </c>
      <c r="N60" s="6"/>
    </row>
    <row r="61" spans="1:14" ht="15.6" x14ac:dyDescent="0.3">
      <c r="A61" s="9" t="s">
        <v>3</v>
      </c>
      <c r="B61" s="8">
        <v>411</v>
      </c>
      <c r="C61" s="8">
        <v>18</v>
      </c>
      <c r="D61" s="8">
        <v>1</v>
      </c>
      <c r="E61" s="7">
        <v>3</v>
      </c>
      <c r="F61" s="7">
        <v>0</v>
      </c>
      <c r="G61" s="7">
        <v>9</v>
      </c>
      <c r="H61" s="7">
        <v>6</v>
      </c>
      <c r="I61" s="8"/>
      <c r="J61" s="7">
        <v>0</v>
      </c>
      <c r="K61" s="7">
        <v>0</v>
      </c>
      <c r="L61" s="7">
        <v>1</v>
      </c>
      <c r="M61" s="7">
        <v>0</v>
      </c>
      <c r="N61" s="6"/>
    </row>
    <row r="62" spans="1:14" ht="15.6" x14ac:dyDescent="0.3">
      <c r="A62" s="9" t="s">
        <v>2</v>
      </c>
      <c r="B62" s="8">
        <v>405</v>
      </c>
      <c r="C62" s="8">
        <v>18</v>
      </c>
      <c r="D62" s="8">
        <v>1</v>
      </c>
      <c r="E62" s="7">
        <v>3</v>
      </c>
      <c r="F62" s="7">
        <v>0</v>
      </c>
      <c r="G62" s="7">
        <v>9</v>
      </c>
      <c r="H62" s="7">
        <v>6</v>
      </c>
      <c r="I62" s="8"/>
      <c r="J62" s="7">
        <v>0</v>
      </c>
      <c r="K62" s="7">
        <v>0</v>
      </c>
      <c r="L62" s="7">
        <v>1</v>
      </c>
      <c r="M62" s="7">
        <v>0</v>
      </c>
      <c r="N62" s="6"/>
    </row>
    <row r="63" spans="1:14" ht="15.6" x14ac:dyDescent="0.3">
      <c r="A63" s="9" t="s">
        <v>1</v>
      </c>
      <c r="B63" s="8">
        <v>408</v>
      </c>
      <c r="C63" s="8">
        <v>18</v>
      </c>
      <c r="D63" s="8">
        <v>0</v>
      </c>
      <c r="E63" s="7">
        <v>3</v>
      </c>
      <c r="F63" s="7">
        <v>0</v>
      </c>
      <c r="G63" s="7">
        <v>9</v>
      </c>
      <c r="H63" s="7">
        <v>6</v>
      </c>
      <c r="I63" s="8"/>
      <c r="J63" s="7">
        <v>0</v>
      </c>
      <c r="K63" s="7">
        <v>0</v>
      </c>
      <c r="L63" s="7">
        <v>0</v>
      </c>
      <c r="M63" s="7">
        <v>0</v>
      </c>
      <c r="N63" s="6"/>
    </row>
    <row r="64" spans="1:14" ht="17.399999999999999" x14ac:dyDescent="0.3">
      <c r="A64" s="5" t="s">
        <v>0</v>
      </c>
      <c r="B64" s="4"/>
      <c r="C64" s="3">
        <f t="shared" ref="C64:H64" si="3">SUM(C53:C63)</f>
        <v>792</v>
      </c>
      <c r="D64" s="3">
        <f t="shared" si="3"/>
        <v>225</v>
      </c>
      <c r="E64" s="3">
        <f t="shared" si="3"/>
        <v>144</v>
      </c>
      <c r="F64" s="3">
        <f t="shared" si="3"/>
        <v>7</v>
      </c>
      <c r="G64" s="3">
        <f t="shared" si="3"/>
        <v>396</v>
      </c>
      <c r="H64" s="3">
        <f t="shared" si="3"/>
        <v>245</v>
      </c>
      <c r="I64" s="3"/>
      <c r="J64" s="3">
        <f>SUM(J53:J63)</f>
        <v>15</v>
      </c>
      <c r="K64" s="3">
        <f>SUM(K53:K63)</f>
        <v>0</v>
      </c>
      <c r="L64" s="3">
        <f>SUM(L53:L63)</f>
        <v>151</v>
      </c>
      <c r="M64" s="3">
        <f>SUM(M53:M63)</f>
        <v>59</v>
      </c>
      <c r="N64" s="2"/>
    </row>
    <row r="65" spans="1:14" x14ac:dyDescent="0.3">
      <c r="A65" s="17" t="s">
        <v>26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39.450000000000003" customHeight="1" x14ac:dyDescent="0.3">
      <c r="A66" s="19" t="s">
        <v>25</v>
      </c>
      <c r="B66" s="19" t="s">
        <v>24</v>
      </c>
      <c r="C66" s="21" t="s">
        <v>23</v>
      </c>
      <c r="D66" s="21" t="s">
        <v>22</v>
      </c>
      <c r="E66" s="23" t="s">
        <v>21</v>
      </c>
      <c r="F66" s="24"/>
      <c r="G66" s="24"/>
      <c r="H66" s="24"/>
      <c r="I66" s="25"/>
      <c r="J66" s="23" t="s">
        <v>20</v>
      </c>
      <c r="K66" s="24"/>
      <c r="L66" s="24"/>
      <c r="M66" s="24"/>
      <c r="N66" s="25"/>
    </row>
    <row r="67" spans="1:14" x14ac:dyDescent="0.3">
      <c r="A67" s="20"/>
      <c r="B67" s="20"/>
      <c r="C67" s="22"/>
      <c r="D67" s="22"/>
      <c r="E67" s="10" t="s">
        <v>19</v>
      </c>
      <c r="F67" s="10" t="s">
        <v>18</v>
      </c>
      <c r="G67" s="10" t="s">
        <v>17</v>
      </c>
      <c r="H67" s="10" t="s">
        <v>16</v>
      </c>
      <c r="I67" s="10" t="s">
        <v>15</v>
      </c>
      <c r="J67" s="10" t="s">
        <v>19</v>
      </c>
      <c r="K67" s="10" t="s">
        <v>18</v>
      </c>
      <c r="L67" s="10" t="s">
        <v>17</v>
      </c>
      <c r="M67" s="10" t="s">
        <v>16</v>
      </c>
      <c r="N67" s="10" t="s">
        <v>15</v>
      </c>
    </row>
    <row r="68" spans="1:14" ht="15.6" x14ac:dyDescent="0.3">
      <c r="A68" s="9" t="s">
        <v>14</v>
      </c>
      <c r="B68" s="8" t="s">
        <v>13</v>
      </c>
      <c r="C68" s="8">
        <v>60</v>
      </c>
      <c r="D68" s="8">
        <v>10</v>
      </c>
      <c r="E68" s="6">
        <v>11</v>
      </c>
      <c r="F68" s="6">
        <v>1</v>
      </c>
      <c r="G68" s="6">
        <v>30</v>
      </c>
      <c r="H68" s="6">
        <v>18</v>
      </c>
      <c r="I68" s="8"/>
      <c r="J68" s="7">
        <v>0</v>
      </c>
      <c r="K68" s="7">
        <v>0</v>
      </c>
      <c r="L68" s="7">
        <v>8</v>
      </c>
      <c r="M68" s="7">
        <v>2</v>
      </c>
      <c r="N68" s="6"/>
    </row>
    <row r="69" spans="1:14" ht="15.6" x14ac:dyDescent="0.3">
      <c r="A69" s="9" t="s">
        <v>12</v>
      </c>
      <c r="B69" s="8" t="s">
        <v>11</v>
      </c>
      <c r="C69" s="8">
        <v>120</v>
      </c>
      <c r="D69" s="8">
        <v>89</v>
      </c>
      <c r="E69" s="6">
        <v>22</v>
      </c>
      <c r="F69" s="6">
        <v>1</v>
      </c>
      <c r="G69" s="6">
        <v>60</v>
      </c>
      <c r="H69" s="6">
        <v>37</v>
      </c>
      <c r="I69" s="8"/>
      <c r="J69" s="7">
        <v>2</v>
      </c>
      <c r="K69" s="7">
        <v>0</v>
      </c>
      <c r="L69" s="7">
        <v>69</v>
      </c>
      <c r="M69" s="7">
        <v>18</v>
      </c>
      <c r="N69" s="6"/>
    </row>
    <row r="70" spans="1:14" ht="15.6" x14ac:dyDescent="0.3">
      <c r="A70" s="9" t="s">
        <v>10</v>
      </c>
      <c r="B70" s="8" t="s">
        <v>9</v>
      </c>
      <c r="C70" s="8">
        <v>120</v>
      </c>
      <c r="D70" s="8">
        <v>21</v>
      </c>
      <c r="E70" s="6">
        <v>22</v>
      </c>
      <c r="F70" s="6">
        <v>1</v>
      </c>
      <c r="G70" s="6">
        <v>60</v>
      </c>
      <c r="H70" s="6">
        <v>37</v>
      </c>
      <c r="I70" s="8"/>
      <c r="J70" s="7">
        <v>4</v>
      </c>
      <c r="K70" s="7">
        <v>0</v>
      </c>
      <c r="L70" s="7">
        <v>16</v>
      </c>
      <c r="M70" s="7">
        <v>1</v>
      </c>
      <c r="N70" s="6"/>
    </row>
    <row r="71" spans="1:14" ht="15.6" x14ac:dyDescent="0.3">
      <c r="A71" s="9" t="s">
        <v>8</v>
      </c>
      <c r="B71" s="8">
        <v>106</v>
      </c>
      <c r="C71" s="8">
        <v>120</v>
      </c>
      <c r="D71" s="8">
        <v>44</v>
      </c>
      <c r="E71" s="6">
        <v>22</v>
      </c>
      <c r="F71" s="6">
        <v>1</v>
      </c>
      <c r="G71" s="6">
        <v>60</v>
      </c>
      <c r="H71" s="6">
        <v>37</v>
      </c>
      <c r="I71" s="8"/>
      <c r="J71" s="7">
        <v>5</v>
      </c>
      <c r="K71" s="7">
        <v>0</v>
      </c>
      <c r="L71" s="7">
        <v>33</v>
      </c>
      <c r="M71" s="7">
        <v>6</v>
      </c>
      <c r="N71" s="6"/>
    </row>
    <row r="72" spans="1:14" ht="15.6" x14ac:dyDescent="0.3">
      <c r="A72" s="9" t="s">
        <v>7</v>
      </c>
      <c r="B72" s="8">
        <v>114</v>
      </c>
      <c r="C72" s="8">
        <v>120</v>
      </c>
      <c r="D72" s="8">
        <v>41</v>
      </c>
      <c r="E72" s="6">
        <v>22</v>
      </c>
      <c r="F72" s="6">
        <v>1</v>
      </c>
      <c r="G72" s="6">
        <v>60</v>
      </c>
      <c r="H72" s="6">
        <v>37</v>
      </c>
      <c r="I72" s="8"/>
      <c r="J72" s="7">
        <v>4</v>
      </c>
      <c r="K72" s="7">
        <v>0</v>
      </c>
      <c r="L72" s="7">
        <v>32</v>
      </c>
      <c r="M72" s="7">
        <v>5</v>
      </c>
      <c r="N72" s="6"/>
    </row>
    <row r="73" spans="1:14" ht="15.6" x14ac:dyDescent="0.3">
      <c r="A73" s="9" t="s">
        <v>6</v>
      </c>
      <c r="B73" s="8">
        <v>205</v>
      </c>
      <c r="C73" s="8">
        <v>60</v>
      </c>
      <c r="D73" s="8">
        <v>39</v>
      </c>
      <c r="E73" s="6">
        <v>11</v>
      </c>
      <c r="F73" s="6">
        <v>1</v>
      </c>
      <c r="G73" s="6">
        <v>30</v>
      </c>
      <c r="H73" s="6">
        <v>18</v>
      </c>
      <c r="I73" s="8"/>
      <c r="J73" s="7">
        <v>4</v>
      </c>
      <c r="K73" s="7">
        <v>0</v>
      </c>
      <c r="L73" s="7">
        <v>31</v>
      </c>
      <c r="M73" s="7">
        <v>4</v>
      </c>
      <c r="N73" s="6"/>
    </row>
    <row r="74" spans="1:14" ht="15.6" x14ac:dyDescent="0.3">
      <c r="A74" s="9" t="s">
        <v>5</v>
      </c>
      <c r="B74" s="8">
        <v>631</v>
      </c>
      <c r="C74" s="8">
        <v>120</v>
      </c>
      <c r="D74" s="8">
        <v>62</v>
      </c>
      <c r="E74" s="6">
        <v>22</v>
      </c>
      <c r="F74" s="6">
        <v>1</v>
      </c>
      <c r="G74" s="6">
        <v>60</v>
      </c>
      <c r="H74" s="6">
        <v>37</v>
      </c>
      <c r="I74" s="8"/>
      <c r="J74" s="7">
        <v>3</v>
      </c>
      <c r="K74" s="7">
        <v>0</v>
      </c>
      <c r="L74" s="7">
        <v>49</v>
      </c>
      <c r="M74" s="7">
        <v>10</v>
      </c>
      <c r="N74" s="6"/>
    </row>
    <row r="75" spans="1:14" ht="15.6" x14ac:dyDescent="0.3">
      <c r="A75" s="9" t="s">
        <v>4</v>
      </c>
      <c r="B75" s="8">
        <v>401</v>
      </c>
      <c r="C75" s="8">
        <v>18</v>
      </c>
      <c r="D75" s="8">
        <v>2</v>
      </c>
      <c r="E75" s="7">
        <v>3</v>
      </c>
      <c r="F75" s="7">
        <v>0</v>
      </c>
      <c r="G75" s="7">
        <v>9</v>
      </c>
      <c r="H75" s="7">
        <v>6</v>
      </c>
      <c r="I75" s="8"/>
      <c r="J75" s="7">
        <v>0</v>
      </c>
      <c r="K75" s="7">
        <v>0</v>
      </c>
      <c r="L75" s="7">
        <v>2</v>
      </c>
      <c r="M75" s="7">
        <v>0</v>
      </c>
      <c r="N75" s="6"/>
    </row>
    <row r="76" spans="1:14" ht="15.6" x14ac:dyDescent="0.3">
      <c r="A76" s="9" t="s">
        <v>3</v>
      </c>
      <c r="B76" s="8">
        <v>411</v>
      </c>
      <c r="C76" s="8">
        <v>18</v>
      </c>
      <c r="D76" s="8">
        <v>0</v>
      </c>
      <c r="E76" s="7">
        <v>3</v>
      </c>
      <c r="F76" s="7">
        <v>0</v>
      </c>
      <c r="G76" s="7">
        <v>9</v>
      </c>
      <c r="H76" s="7">
        <v>6</v>
      </c>
      <c r="I76" s="8"/>
      <c r="J76" s="7">
        <v>0</v>
      </c>
      <c r="K76" s="7">
        <v>0</v>
      </c>
      <c r="L76" s="7">
        <v>0</v>
      </c>
      <c r="M76" s="7">
        <v>0</v>
      </c>
      <c r="N76" s="6"/>
    </row>
    <row r="77" spans="1:14" ht="15.6" x14ac:dyDescent="0.3">
      <c r="A77" s="9" t="s">
        <v>2</v>
      </c>
      <c r="B77" s="8">
        <v>405</v>
      </c>
      <c r="C77" s="8">
        <v>18</v>
      </c>
      <c r="D77" s="8">
        <v>4</v>
      </c>
      <c r="E77" s="7">
        <v>3</v>
      </c>
      <c r="F77" s="7">
        <v>0</v>
      </c>
      <c r="G77" s="7">
        <v>9</v>
      </c>
      <c r="H77" s="7">
        <v>6</v>
      </c>
      <c r="I77" s="8"/>
      <c r="J77" s="7">
        <v>2</v>
      </c>
      <c r="K77" s="7">
        <v>0</v>
      </c>
      <c r="L77" s="7">
        <v>2</v>
      </c>
      <c r="M77" s="7">
        <v>0</v>
      </c>
      <c r="N77" s="6"/>
    </row>
    <row r="78" spans="1:14" ht="15.6" x14ac:dyDescent="0.3">
      <c r="A78" s="9" t="s">
        <v>1</v>
      </c>
      <c r="B78" s="8">
        <v>408</v>
      </c>
      <c r="C78" s="8">
        <v>18</v>
      </c>
      <c r="D78" s="8">
        <v>0</v>
      </c>
      <c r="E78" s="7">
        <v>3</v>
      </c>
      <c r="F78" s="7">
        <v>0</v>
      </c>
      <c r="G78" s="7">
        <v>9</v>
      </c>
      <c r="H78" s="7">
        <v>6</v>
      </c>
      <c r="I78" s="8"/>
      <c r="J78" s="7">
        <v>0</v>
      </c>
      <c r="K78" s="7">
        <v>0</v>
      </c>
      <c r="L78" s="7">
        <v>0</v>
      </c>
      <c r="M78" s="7">
        <v>0</v>
      </c>
      <c r="N78" s="6"/>
    </row>
    <row r="79" spans="1:14" ht="17.399999999999999" x14ac:dyDescent="0.3">
      <c r="A79" s="5" t="s">
        <v>0</v>
      </c>
      <c r="B79" s="4"/>
      <c r="C79" s="3">
        <f t="shared" ref="C79:H79" si="4">SUM(C68:C78)</f>
        <v>792</v>
      </c>
      <c r="D79" s="3">
        <f t="shared" si="4"/>
        <v>312</v>
      </c>
      <c r="E79" s="3">
        <f t="shared" si="4"/>
        <v>144</v>
      </c>
      <c r="F79" s="3">
        <f t="shared" si="4"/>
        <v>7</v>
      </c>
      <c r="G79" s="3">
        <f t="shared" si="4"/>
        <v>396</v>
      </c>
      <c r="H79" s="3">
        <f t="shared" si="4"/>
        <v>245</v>
      </c>
      <c r="I79" s="3"/>
      <c r="J79" s="3">
        <f>SUM(J68:J78)</f>
        <v>24</v>
      </c>
      <c r="K79" s="3">
        <f>SUM(K68:K78)</f>
        <v>0</v>
      </c>
      <c r="L79" s="3">
        <f>SUM(L68:L78)</f>
        <v>242</v>
      </c>
      <c r="M79" s="3">
        <f>SUM(M68:M78)</f>
        <v>46</v>
      </c>
      <c r="N79" s="2"/>
    </row>
  </sheetData>
  <mergeCells count="36">
    <mergeCell ref="A2:N2"/>
    <mergeCell ref="A65:N65"/>
    <mergeCell ref="A66:A67"/>
    <mergeCell ref="B66:B67"/>
    <mergeCell ref="C66:C67"/>
    <mergeCell ref="D66:D67"/>
    <mergeCell ref="E66:I66"/>
    <mergeCell ref="J66:N66"/>
    <mergeCell ref="D36:D37"/>
    <mergeCell ref="E36:I36"/>
    <mergeCell ref="A18:N18"/>
    <mergeCell ref="A19:A20"/>
    <mergeCell ref="B19:B20"/>
    <mergeCell ref="C19:C20"/>
    <mergeCell ref="D19:D20"/>
    <mergeCell ref="E19:I19"/>
    <mergeCell ref="J19:N19"/>
    <mergeCell ref="E4:I4"/>
    <mergeCell ref="J4:N4"/>
    <mergeCell ref="A3:N3"/>
    <mergeCell ref="D4:D5"/>
    <mergeCell ref="C4:C5"/>
    <mergeCell ref="B4:B5"/>
    <mergeCell ref="A4:A5"/>
    <mergeCell ref="A35:N35"/>
    <mergeCell ref="A36:A37"/>
    <mergeCell ref="B36:B37"/>
    <mergeCell ref="C36:C37"/>
    <mergeCell ref="E51:I51"/>
    <mergeCell ref="J51:N51"/>
    <mergeCell ref="J36:N36"/>
    <mergeCell ref="A50:N50"/>
    <mergeCell ref="A51:A52"/>
    <mergeCell ref="B51:B52"/>
    <mergeCell ref="C51:C52"/>
    <mergeCell ref="D51:D52"/>
  </mergeCells>
  <printOptions horizontalCentered="1"/>
  <pageMargins left="0.28999999999999998" right="0.47" top="0.75" bottom="0.75" header="0.3" footer="0.3"/>
  <pageSetup paperSize="9" scale="90" orientation="landscape" r:id="rId1"/>
  <rowBreaks count="3" manualBreakCount="3">
    <brk id="17" max="13" man="1"/>
    <brk id="34" max="13" man="1"/>
    <brk id="49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2.1.1</vt:lpstr>
      <vt:lpstr>'2.1.1'!Print_Area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KE0020-MECH</dc:creator>
  <cp:lastModifiedBy>S MAHENDIRAN</cp:lastModifiedBy>
  <dcterms:created xsi:type="dcterms:W3CDTF">2015-06-05T18:17:20Z</dcterms:created>
  <dcterms:modified xsi:type="dcterms:W3CDTF">2024-04-15T12:39:22Z</dcterms:modified>
</cp:coreProperties>
</file>