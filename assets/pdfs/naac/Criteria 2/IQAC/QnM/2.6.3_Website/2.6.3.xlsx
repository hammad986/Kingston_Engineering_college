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D:\NAAC\NAAC_CR2_14.04.2024\Criteria 2_Website Updated\2.6.3\2.6.3_Website\"/>
    </mc:Choice>
  </mc:AlternateContent>
  <xr:revisionPtr revIDLastSave="0" documentId="13_ncr:1_{7F503E54-3CF8-4748-98EF-C719C4CF499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2.6.3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4" l="1"/>
  <c r="E50" i="4"/>
  <c r="D50" i="4"/>
  <c r="E49" i="4"/>
  <c r="D49" i="4"/>
  <c r="E41" i="4"/>
  <c r="D41" i="4"/>
  <c r="E31" i="4"/>
  <c r="D31" i="4"/>
  <c r="E21" i="4"/>
  <c r="D21" i="4"/>
  <c r="E11" i="4"/>
  <c r="D11" i="4"/>
</calcChain>
</file>

<file path=xl/sharedStrings.xml><?xml version="1.0" encoding="utf-8"?>
<sst xmlns="http://schemas.openxmlformats.org/spreadsheetml/2006/main" count="55" uniqueCount="26">
  <si>
    <t>2.6.3 Pass percentage of Students during last five years  (excluding backlog students)</t>
  </si>
  <si>
    <t>Year</t>
  </si>
  <si>
    <t>Program Code</t>
  </si>
  <si>
    <t>Program Name</t>
  </si>
  <si>
    <t>Number of students appeared in the final year examination</t>
  </si>
  <si>
    <t>Number of students passed in final year examination</t>
  </si>
  <si>
    <t>2022-2023</t>
  </si>
  <si>
    <t>B.E - Computer Science and Engineering</t>
  </si>
  <si>
    <t>B.E Electrical and Electronics Engineering</t>
  </si>
  <si>
    <t>B.E - Electronics &amp; Communication Engineering</t>
  </si>
  <si>
    <t>B.E Mechanical Engineering</t>
  </si>
  <si>
    <t>B.Tech - Information Technology</t>
  </si>
  <si>
    <t>M.E - Computer Science Engineering</t>
  </si>
  <si>
    <t>M.E - Engineering Design</t>
  </si>
  <si>
    <t>Master of Business Administration</t>
  </si>
  <si>
    <t>2021-2022</t>
  </si>
  <si>
    <t>B.E - Civil Engineering</t>
  </si>
  <si>
    <t>B.Tech – Information Technology</t>
  </si>
  <si>
    <t>M.E – Applied Electronics</t>
  </si>
  <si>
    <t>M.E - Power System Engineering</t>
  </si>
  <si>
    <t>2020-2021</t>
  </si>
  <si>
    <t>M.E – Computer Science &amp; Engineering</t>
  </si>
  <si>
    <t>2019-2020</t>
  </si>
  <si>
    <t>2018-2019</t>
  </si>
  <si>
    <t>Grand Total</t>
  </si>
  <si>
    <t>Pass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</si>
</sst>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2" fillId="3" borderId="4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rmal 2" xfId="1" xr:uid="{6486B366-DE4E-408A-825B-5D40EE8174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F82-27EE-4328-96C1-82A7FD64733A}">
  <sheetPr>
    <tabColor rgb="FF92D050"/>
  </sheetPr>
  <dimension ref="A1:E51"/>
  <sheetViews>
    <sheetView tabSelected="1" zoomScale="115" zoomScaleNormal="115" workbookViewId="0">
      <selection activeCell="F3" sqref="F3"/>
    </sheetView>
  </sheetViews>
  <sheetFormatPr defaultColWidth="27.77734375" defaultRowHeight="14.4" x14ac:dyDescent="0.3"/>
  <cols>
    <col min="1" max="1" width="9.88671875" customWidth="1"/>
    <col min="2" max="2" width="12.77734375" bestFit="1" customWidth="1"/>
    <col min="3" max="3" width="39.21875" customWidth="1"/>
    <col min="4" max="4" width="16.21875" customWidth="1"/>
    <col min="5" max="5" width="16.109375" customWidth="1"/>
  </cols>
  <sheetData>
    <row r="1" spans="1:5" x14ac:dyDescent="0.3">
      <c r="A1" t="s">
        <v>0</v>
      </c>
    </row>
    <row r="2" spans="1:5" s="4" customFormat="1" ht="63" customHeight="1" x14ac:dyDescent="0.3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</row>
    <row r="3" spans="1:5" x14ac:dyDescent="0.3">
      <c r="A3" s="5" t="s">
        <v>6</v>
      </c>
      <c r="B3" s="6">
        <v>104</v>
      </c>
      <c r="C3" s="7" t="s">
        <v>7</v>
      </c>
      <c r="D3" s="6">
        <v>78</v>
      </c>
      <c r="E3" s="6">
        <v>76</v>
      </c>
    </row>
    <row r="4" spans="1:5" x14ac:dyDescent="0.3">
      <c r="A4" s="5"/>
      <c r="B4" s="6">
        <v>105</v>
      </c>
      <c r="C4" s="7" t="s">
        <v>8</v>
      </c>
      <c r="D4" s="6">
        <v>9</v>
      </c>
      <c r="E4" s="6">
        <v>9</v>
      </c>
    </row>
    <row r="5" spans="1:5" x14ac:dyDescent="0.3">
      <c r="A5" s="5"/>
      <c r="B5" s="6">
        <v>106</v>
      </c>
      <c r="C5" s="7" t="s">
        <v>9</v>
      </c>
      <c r="D5" s="6">
        <v>32</v>
      </c>
      <c r="E5" s="6">
        <v>31</v>
      </c>
    </row>
    <row r="6" spans="1:5" x14ac:dyDescent="0.3">
      <c r="A6" s="5"/>
      <c r="B6" s="6">
        <v>114</v>
      </c>
      <c r="C6" s="7" t="s">
        <v>10</v>
      </c>
      <c r="D6" s="6">
        <v>20</v>
      </c>
      <c r="E6" s="6">
        <v>20</v>
      </c>
    </row>
    <row r="7" spans="1:5" x14ac:dyDescent="0.3">
      <c r="A7" s="5"/>
      <c r="B7" s="6">
        <v>205</v>
      </c>
      <c r="C7" s="7" t="s">
        <v>11</v>
      </c>
      <c r="D7" s="6">
        <v>35</v>
      </c>
      <c r="E7" s="6">
        <v>34</v>
      </c>
    </row>
    <row r="8" spans="1:5" x14ac:dyDescent="0.3">
      <c r="A8" s="5"/>
      <c r="B8" s="6">
        <v>405</v>
      </c>
      <c r="C8" s="7" t="s">
        <v>12</v>
      </c>
      <c r="D8" s="6">
        <v>3</v>
      </c>
      <c r="E8" s="6">
        <v>2</v>
      </c>
    </row>
    <row r="9" spans="1:5" x14ac:dyDescent="0.3">
      <c r="A9" s="5"/>
      <c r="B9" s="6">
        <v>408</v>
      </c>
      <c r="C9" s="7" t="s">
        <v>13</v>
      </c>
      <c r="D9" s="6">
        <v>1</v>
      </c>
      <c r="E9" s="6">
        <v>1</v>
      </c>
    </row>
    <row r="10" spans="1:5" x14ac:dyDescent="0.3">
      <c r="A10" s="5"/>
      <c r="B10" s="6">
        <v>631</v>
      </c>
      <c r="C10" s="7" t="s">
        <v>14</v>
      </c>
      <c r="D10" s="6">
        <v>57</v>
      </c>
      <c r="E10" s="6">
        <v>57</v>
      </c>
    </row>
    <row r="11" spans="1:5" x14ac:dyDescent="0.3">
      <c r="A11" s="8"/>
      <c r="B11" s="9"/>
      <c r="C11" s="10"/>
      <c r="D11" s="9">
        <f>SUM(D3:D10)</f>
        <v>235</v>
      </c>
      <c r="E11" s="9">
        <f>SUM(E3:E10)</f>
        <v>230</v>
      </c>
    </row>
    <row r="12" spans="1:5" x14ac:dyDescent="0.3">
      <c r="A12" s="11" t="s">
        <v>15</v>
      </c>
      <c r="B12" s="6">
        <v>103</v>
      </c>
      <c r="C12" s="7" t="s">
        <v>16</v>
      </c>
      <c r="D12" s="6">
        <v>13</v>
      </c>
      <c r="E12" s="6">
        <v>12</v>
      </c>
    </row>
    <row r="13" spans="1:5" x14ac:dyDescent="0.3">
      <c r="A13" s="11"/>
      <c r="B13" s="6">
        <v>104</v>
      </c>
      <c r="C13" s="7" t="s">
        <v>7</v>
      </c>
      <c r="D13" s="6">
        <v>87</v>
      </c>
      <c r="E13" s="6">
        <v>85</v>
      </c>
    </row>
    <row r="14" spans="1:5" x14ac:dyDescent="0.3">
      <c r="A14" s="11"/>
      <c r="B14" s="6">
        <v>105</v>
      </c>
      <c r="C14" s="7" t="s">
        <v>8</v>
      </c>
      <c r="D14" s="6">
        <v>23</v>
      </c>
      <c r="E14" s="6">
        <v>23</v>
      </c>
    </row>
    <row r="15" spans="1:5" x14ac:dyDescent="0.3">
      <c r="A15" s="11"/>
      <c r="B15" s="6">
        <v>106</v>
      </c>
      <c r="C15" s="7" t="s">
        <v>9</v>
      </c>
      <c r="D15" s="6">
        <v>46</v>
      </c>
      <c r="E15" s="6">
        <v>46</v>
      </c>
    </row>
    <row r="16" spans="1:5" x14ac:dyDescent="0.3">
      <c r="A16" s="11"/>
      <c r="B16" s="6">
        <v>114</v>
      </c>
      <c r="C16" s="7" t="s">
        <v>10</v>
      </c>
      <c r="D16" s="6">
        <v>46</v>
      </c>
      <c r="E16" s="6">
        <v>46</v>
      </c>
    </row>
    <row r="17" spans="1:5" x14ac:dyDescent="0.3">
      <c r="A17" s="11"/>
      <c r="B17" s="6">
        <v>205</v>
      </c>
      <c r="C17" s="7" t="s">
        <v>17</v>
      </c>
      <c r="D17" s="6">
        <v>34</v>
      </c>
      <c r="E17" s="6">
        <v>33</v>
      </c>
    </row>
    <row r="18" spans="1:5" x14ac:dyDescent="0.3">
      <c r="A18" s="11"/>
      <c r="B18" s="6">
        <v>401</v>
      </c>
      <c r="C18" s="7" t="s">
        <v>18</v>
      </c>
      <c r="D18" s="6">
        <v>1</v>
      </c>
      <c r="E18" s="6">
        <v>1</v>
      </c>
    </row>
    <row r="19" spans="1:5" x14ac:dyDescent="0.3">
      <c r="A19" s="11"/>
      <c r="B19" s="6">
        <v>411</v>
      </c>
      <c r="C19" s="7" t="s">
        <v>19</v>
      </c>
      <c r="D19" s="6">
        <v>1</v>
      </c>
      <c r="E19" s="6">
        <v>1</v>
      </c>
    </row>
    <row r="20" spans="1:5" x14ac:dyDescent="0.3">
      <c r="A20" s="11"/>
      <c r="B20" s="6">
        <v>631</v>
      </c>
      <c r="C20" s="7" t="s">
        <v>14</v>
      </c>
      <c r="D20" s="6">
        <v>60</v>
      </c>
      <c r="E20" s="6">
        <v>59</v>
      </c>
    </row>
    <row r="21" spans="1:5" x14ac:dyDescent="0.3">
      <c r="A21" s="12"/>
      <c r="B21" s="9"/>
      <c r="C21" s="10"/>
      <c r="D21" s="9">
        <f>SUM(D12:D20)</f>
        <v>311</v>
      </c>
      <c r="E21" s="9">
        <f>SUM(E12:E20)</f>
        <v>306</v>
      </c>
    </row>
    <row r="22" spans="1:5" x14ac:dyDescent="0.3">
      <c r="A22" s="11" t="s">
        <v>20</v>
      </c>
      <c r="B22" s="6">
        <v>103</v>
      </c>
      <c r="C22" s="7" t="s">
        <v>16</v>
      </c>
      <c r="D22" s="6">
        <v>19</v>
      </c>
      <c r="E22" s="6">
        <v>19</v>
      </c>
    </row>
    <row r="23" spans="1:5" x14ac:dyDescent="0.3">
      <c r="A23" s="11"/>
      <c r="B23" s="6">
        <v>104</v>
      </c>
      <c r="C23" s="7" t="s">
        <v>7</v>
      </c>
      <c r="D23" s="6">
        <v>91</v>
      </c>
      <c r="E23" s="6">
        <v>91</v>
      </c>
    </row>
    <row r="24" spans="1:5" x14ac:dyDescent="0.3">
      <c r="A24" s="11"/>
      <c r="B24" s="6">
        <v>105</v>
      </c>
      <c r="C24" s="7" t="s">
        <v>8</v>
      </c>
      <c r="D24" s="6">
        <v>38</v>
      </c>
      <c r="E24" s="6">
        <v>38</v>
      </c>
    </row>
    <row r="25" spans="1:5" x14ac:dyDescent="0.3">
      <c r="A25" s="11"/>
      <c r="B25" s="6">
        <v>106</v>
      </c>
      <c r="C25" s="7" t="s">
        <v>9</v>
      </c>
      <c r="D25" s="6">
        <v>93</v>
      </c>
      <c r="E25" s="6">
        <v>93</v>
      </c>
    </row>
    <row r="26" spans="1:5" x14ac:dyDescent="0.3">
      <c r="A26" s="11"/>
      <c r="B26" s="6">
        <v>114</v>
      </c>
      <c r="C26" s="7" t="s">
        <v>10</v>
      </c>
      <c r="D26" s="6">
        <v>76</v>
      </c>
      <c r="E26" s="6">
        <v>75</v>
      </c>
    </row>
    <row r="27" spans="1:5" x14ac:dyDescent="0.3">
      <c r="A27" s="11"/>
      <c r="B27" s="6">
        <v>205</v>
      </c>
      <c r="C27" s="7" t="s">
        <v>17</v>
      </c>
      <c r="D27" s="6">
        <v>24</v>
      </c>
      <c r="E27" s="6">
        <v>23</v>
      </c>
    </row>
    <row r="28" spans="1:5" x14ac:dyDescent="0.3">
      <c r="A28" s="11"/>
      <c r="B28" s="6">
        <v>405</v>
      </c>
      <c r="C28" s="7" t="s">
        <v>21</v>
      </c>
      <c r="D28" s="6">
        <v>1</v>
      </c>
      <c r="E28" s="6">
        <v>1</v>
      </c>
    </row>
    <row r="29" spans="1:5" x14ac:dyDescent="0.3">
      <c r="A29" s="11"/>
      <c r="B29" s="6">
        <v>411</v>
      </c>
      <c r="C29" s="7" t="s">
        <v>19</v>
      </c>
      <c r="D29" s="6">
        <v>1</v>
      </c>
      <c r="E29" s="6">
        <v>1</v>
      </c>
    </row>
    <row r="30" spans="1:5" x14ac:dyDescent="0.3">
      <c r="A30" s="11"/>
      <c r="B30" s="6">
        <v>631</v>
      </c>
      <c r="C30" s="7" t="s">
        <v>14</v>
      </c>
      <c r="D30" s="6">
        <v>50</v>
      </c>
      <c r="E30" s="6">
        <v>50</v>
      </c>
    </row>
    <row r="31" spans="1:5" x14ac:dyDescent="0.3">
      <c r="A31" s="12"/>
      <c r="B31" s="9"/>
      <c r="C31" s="10"/>
      <c r="D31" s="9">
        <f>SUM(D22:D30)</f>
        <v>393</v>
      </c>
      <c r="E31" s="9">
        <f>SUM(E22:E30)</f>
        <v>391</v>
      </c>
    </row>
    <row r="32" spans="1:5" x14ac:dyDescent="0.3">
      <c r="A32" s="11" t="s">
        <v>22</v>
      </c>
      <c r="B32" s="6">
        <v>103</v>
      </c>
      <c r="C32" s="7" t="s">
        <v>16</v>
      </c>
      <c r="D32" s="6">
        <v>44</v>
      </c>
      <c r="E32" s="6">
        <v>44</v>
      </c>
    </row>
    <row r="33" spans="1:5" x14ac:dyDescent="0.3">
      <c r="A33" s="11"/>
      <c r="B33" s="6">
        <v>104</v>
      </c>
      <c r="C33" s="7" t="s">
        <v>7</v>
      </c>
      <c r="D33" s="6">
        <v>94</v>
      </c>
      <c r="E33" s="6">
        <v>94</v>
      </c>
    </row>
    <row r="34" spans="1:5" x14ac:dyDescent="0.3">
      <c r="A34" s="11"/>
      <c r="B34" s="6">
        <v>105</v>
      </c>
      <c r="C34" s="7" t="s">
        <v>8</v>
      </c>
      <c r="D34" s="6">
        <v>47</v>
      </c>
      <c r="E34" s="6">
        <v>47</v>
      </c>
    </row>
    <row r="35" spans="1:5" x14ac:dyDescent="0.3">
      <c r="A35" s="11"/>
      <c r="B35" s="6">
        <v>106</v>
      </c>
      <c r="C35" s="7" t="s">
        <v>9</v>
      </c>
      <c r="D35" s="6">
        <v>94</v>
      </c>
      <c r="E35" s="6">
        <v>94</v>
      </c>
    </row>
    <row r="36" spans="1:5" x14ac:dyDescent="0.3">
      <c r="A36" s="11"/>
      <c r="B36" s="6">
        <v>114</v>
      </c>
      <c r="C36" s="7" t="s">
        <v>10</v>
      </c>
      <c r="D36" s="6">
        <v>94</v>
      </c>
      <c r="E36" s="6">
        <v>94</v>
      </c>
    </row>
    <row r="37" spans="1:5" x14ac:dyDescent="0.3">
      <c r="A37" s="11"/>
      <c r="B37" s="6">
        <v>205</v>
      </c>
      <c r="C37" s="7" t="s">
        <v>17</v>
      </c>
      <c r="D37" s="6">
        <v>46</v>
      </c>
      <c r="E37" s="6">
        <v>46</v>
      </c>
    </row>
    <row r="38" spans="1:5" x14ac:dyDescent="0.3">
      <c r="A38" s="11"/>
      <c r="B38" s="6">
        <v>401</v>
      </c>
      <c r="C38" s="7" t="s">
        <v>18</v>
      </c>
      <c r="D38" s="6">
        <v>2</v>
      </c>
      <c r="E38" s="6">
        <v>2</v>
      </c>
    </row>
    <row r="39" spans="1:5" x14ac:dyDescent="0.3">
      <c r="A39" s="11"/>
      <c r="B39" s="6">
        <v>405</v>
      </c>
      <c r="C39" s="7" t="s">
        <v>21</v>
      </c>
      <c r="D39" s="6">
        <v>4</v>
      </c>
      <c r="E39" s="6">
        <v>4</v>
      </c>
    </row>
    <row r="40" spans="1:5" x14ac:dyDescent="0.3">
      <c r="A40" s="11"/>
      <c r="B40" s="6">
        <v>631</v>
      </c>
      <c r="C40" s="7" t="s">
        <v>14</v>
      </c>
      <c r="D40" s="6">
        <v>60</v>
      </c>
      <c r="E40" s="6">
        <v>60</v>
      </c>
    </row>
    <row r="41" spans="1:5" x14ac:dyDescent="0.3">
      <c r="A41" s="12"/>
      <c r="B41" s="9"/>
      <c r="C41" s="10"/>
      <c r="D41" s="9">
        <f>SUM(D32:D40)</f>
        <v>485</v>
      </c>
      <c r="E41" s="9">
        <f>SUM(E32:E40)</f>
        <v>485</v>
      </c>
    </row>
    <row r="42" spans="1:5" x14ac:dyDescent="0.3">
      <c r="A42" s="11" t="s">
        <v>23</v>
      </c>
      <c r="B42" s="6">
        <v>103</v>
      </c>
      <c r="C42" s="7" t="s">
        <v>16</v>
      </c>
      <c r="D42" s="6">
        <v>60</v>
      </c>
      <c r="E42" s="6">
        <v>56</v>
      </c>
    </row>
    <row r="43" spans="1:5" x14ac:dyDescent="0.3">
      <c r="A43" s="11"/>
      <c r="B43" s="6">
        <v>104</v>
      </c>
      <c r="C43" s="7" t="s">
        <v>7</v>
      </c>
      <c r="D43" s="6">
        <v>104</v>
      </c>
      <c r="E43" s="6">
        <v>94</v>
      </c>
    </row>
    <row r="44" spans="1:5" x14ac:dyDescent="0.3">
      <c r="A44" s="11"/>
      <c r="B44" s="6">
        <v>105</v>
      </c>
      <c r="C44" s="7" t="s">
        <v>8</v>
      </c>
      <c r="D44" s="6">
        <v>78</v>
      </c>
      <c r="E44" s="6">
        <v>72</v>
      </c>
    </row>
    <row r="45" spans="1:5" x14ac:dyDescent="0.3">
      <c r="A45" s="11"/>
      <c r="B45" s="6">
        <v>106</v>
      </c>
      <c r="C45" s="7" t="s">
        <v>9</v>
      </c>
      <c r="D45" s="6">
        <v>109</v>
      </c>
      <c r="E45" s="6">
        <v>101</v>
      </c>
    </row>
    <row r="46" spans="1:5" x14ac:dyDescent="0.3">
      <c r="A46" s="11"/>
      <c r="B46" s="6">
        <v>114</v>
      </c>
      <c r="C46" s="7" t="s">
        <v>10</v>
      </c>
      <c r="D46" s="6">
        <v>130</v>
      </c>
      <c r="E46" s="6">
        <v>124</v>
      </c>
    </row>
    <row r="47" spans="1:5" x14ac:dyDescent="0.3">
      <c r="A47" s="11"/>
      <c r="B47" s="6">
        <v>205</v>
      </c>
      <c r="C47" s="7" t="s">
        <v>17</v>
      </c>
      <c r="D47" s="6">
        <v>39</v>
      </c>
      <c r="E47" s="6">
        <v>32</v>
      </c>
    </row>
    <row r="48" spans="1:5" x14ac:dyDescent="0.3">
      <c r="A48" s="11"/>
      <c r="B48" s="6">
        <v>631</v>
      </c>
      <c r="C48" s="7" t="s">
        <v>14</v>
      </c>
      <c r="D48" s="6">
        <v>44</v>
      </c>
      <c r="E48" s="6">
        <v>42</v>
      </c>
    </row>
    <row r="49" spans="1:5" x14ac:dyDescent="0.3">
      <c r="A49" s="13"/>
      <c r="B49" s="14"/>
      <c r="C49" s="13"/>
      <c r="D49" s="15">
        <f>SUM(D42:D48)</f>
        <v>564</v>
      </c>
      <c r="E49" s="15">
        <f>SUM(E42:E48)</f>
        <v>521</v>
      </c>
    </row>
    <row r="50" spans="1:5" x14ac:dyDescent="0.3">
      <c r="A50" s="18" t="s">
        <v>24</v>
      </c>
      <c r="B50" s="19"/>
      <c r="C50" s="20"/>
      <c r="D50" s="16">
        <f>SUM(D11+D21+D31+D41+D49)</f>
        <v>1988</v>
      </c>
      <c r="E50" s="16">
        <f>SUM(E11+E21+E31+E41+E49)</f>
        <v>1933</v>
      </c>
    </row>
    <row r="51" spans="1:5" ht="18" x14ac:dyDescent="0.35">
      <c r="A51" s="21" t="s">
        <v>25</v>
      </c>
      <c r="B51" s="21"/>
      <c r="C51" s="21"/>
      <c r="D51" s="21"/>
      <c r="E51" s="17">
        <f>(E50/D50)*100</f>
        <v>97.233400402414489</v>
      </c>
    </row>
  </sheetData>
  <mergeCells count="2">
    <mergeCell ref="A50:C50"/>
    <mergeCell ref="A51:D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2.6.3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KE0020-MECH</dc:creator>
  <cp:lastModifiedBy>S MAHENDIRAN</cp:lastModifiedBy>
  <dcterms:created xsi:type="dcterms:W3CDTF">2015-06-05T18:17:20Z</dcterms:created>
  <dcterms:modified xsi:type="dcterms:W3CDTF">2024-04-15T12:41:08Z</dcterms:modified>
</cp:coreProperties>
</file>